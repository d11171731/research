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\ITSM\Hiện trạng\Đánh giá\Template\"/>
    </mc:Choice>
  </mc:AlternateContent>
  <xr:revisionPtr revIDLastSave="0" documentId="13_ncr:1_{FD001D46-05FB-48F5-B6A7-B433D3417FE2}" xr6:coauthVersionLast="36" xr6:coauthVersionMax="36" xr10:uidLastSave="{00000000-0000-0000-0000-000000000000}"/>
  <bookViews>
    <workbookView xWindow="0" yWindow="0" windowWidth="19200" windowHeight="8070" firstSheet="1" activeTab="1" xr2:uid="{00000000-000D-0000-FFFF-FFFF00000000}"/>
  </bookViews>
  <sheets>
    <sheet name="Executive Summary" sheetId="1" state="hidden" r:id="rId1"/>
    <sheet name="Maturity by Area" sheetId="2" r:id="rId2"/>
    <sheet name="Key Findings" sheetId="9" r:id="rId3"/>
    <sheet name="Quick Wins" sheetId="3" r:id="rId4"/>
    <sheet name="Statis" sheetId="11" r:id="rId5"/>
    <sheet name="Roadmap" sheetId="4" r:id="rId6"/>
    <sheet name="Budget" sheetId="5" r:id="rId7"/>
    <sheet name="Sheet1" sheetId="7" r:id="rId8"/>
    <sheet name="Brainstorm" sheetId="10" r:id="rId9"/>
  </sheets>
  <calcPr calcId="191029"/>
  <pivotCaches>
    <pivotCache cacheId="0" r:id="rId10"/>
    <pivotCache cacheId="1" r:id="rId11"/>
    <pivotCache cacheId="2" r:id="rId12"/>
  </pivotCaches>
</workbook>
</file>

<file path=xl/calcChain.xml><?xml version="1.0" encoding="utf-8"?>
<calcChain xmlns="http://schemas.openxmlformats.org/spreadsheetml/2006/main">
  <c r="B14" i="2" l="1"/>
  <c r="F14" i="2" l="1"/>
  <c r="B11" i="1" s="1"/>
  <c r="C14" i="2" l="1"/>
  <c r="B10" i="1" l="1"/>
  <c r="B12" i="1" s="1"/>
</calcChain>
</file>

<file path=xl/sharedStrings.xml><?xml version="1.0" encoding="utf-8"?>
<sst xmlns="http://schemas.openxmlformats.org/spreadsheetml/2006/main" count="715" uniqueCount="489">
  <si>
    <t>Công Ty:</t>
  </si>
  <si>
    <t>Người Đánh Giá:</t>
  </si>
  <si>
    <t>Phạm Vi:</t>
  </si>
  <si>
    <t>Tất cả mảng ITSM</t>
  </si>
  <si>
    <t>OVERALL MATURITY LEVEL</t>
  </si>
  <si>
    <t>Current:</t>
  </si>
  <si>
    <t>/ 5.0</t>
  </si>
  <si>
    <t>MANAGED (Level 2)</t>
  </si>
  <si>
    <t>Target:</t>
  </si>
  <si>
    <t>DEFINED (Level 3)</t>
  </si>
  <si>
    <t>Gap:</t>
  </si>
  <si>
    <t>KEY FINDINGS - PHÁT HIỆN CHÍNH</t>
  </si>
  <si>
    <t>CRITICAL RECOMMENDATIONS</t>
  </si>
  <si>
    <t>EXPECTED BENEFITS (Year 1)</t>
  </si>
  <si>
    <t>Metric</t>
  </si>
  <si>
    <t>Change</t>
  </si>
  <si>
    <t>Impact</t>
  </si>
  <si>
    <t>MATURITY ASSESSMENT BY AREA</t>
  </si>
  <si>
    <t>MẢNG</t>
  </si>
  <si>
    <t>CURRENT</t>
  </si>
  <si>
    <t>GAP</t>
  </si>
  <si>
    <t>LEVEL</t>
  </si>
  <si>
    <t>Service Desk</t>
  </si>
  <si>
    <t>Managed</t>
  </si>
  <si>
    <t>MEDIUM</t>
  </si>
  <si>
    <t>Incident Management</t>
  </si>
  <si>
    <t>HIGH</t>
  </si>
  <si>
    <t>Change Management</t>
  </si>
  <si>
    <t>Initial</t>
  </si>
  <si>
    <t>CRITICAL</t>
  </si>
  <si>
    <t>Problem Management</t>
  </si>
  <si>
    <t>AVERAGE</t>
  </si>
  <si>
    <t>QUICK WINS - CẢI TIẾN NHANH (0-3 THÁNG)</t>
  </si>
  <si>
    <t>$10K</t>
  </si>
  <si>
    <t>Medium</t>
  </si>
  <si>
    <t>$5K</t>
  </si>
  <si>
    <t>$15K</t>
  </si>
  <si>
    <t>ROADMAP CẢI TIẾN ITSM (12-24 THÁNG)</t>
  </si>
  <si>
    <t>PHASE 1: QUICK WINS &amp; COMPLIANCE (0-3 tháng)</t>
  </si>
  <si>
    <t>- Mã hóa dữ liệu (100%)</t>
  </si>
  <si>
    <t>- Thành lập CAB</t>
  </si>
  <si>
    <t>- Complete ROI (DORA)</t>
  </si>
  <si>
    <t>- Thành lập QA team</t>
  </si>
  <si>
    <t>- Knowledge base (top 20)</t>
  </si>
  <si>
    <t>Expected Maturity: 2.5</t>
  </si>
  <si>
    <t>PHASE 2: PROCESS FOUNDATION (4-6 tháng)</t>
  </si>
  <si>
    <t>- Document tất cả ITSM processes</t>
  </si>
  <si>
    <t>- Implement change management workflow</t>
  </si>
  <si>
    <t>- Start problem management</t>
  </si>
  <si>
    <t>- Incident classification</t>
  </si>
  <si>
    <t>- Vendor risk assessment</t>
  </si>
  <si>
    <t>Expected Maturity: 2.8</t>
  </si>
  <si>
    <t>PHASE 3: PROCESS MATURITY (7-12 tháng)</t>
  </si>
  <si>
    <t>- Automation (password resets, ticket routing)</t>
  </si>
  <si>
    <t>- Proactive problem management</t>
  </si>
  <si>
    <t>- Advanced reporting &amp; dashboards</t>
  </si>
  <si>
    <t>- SLA management &amp; monitoring</t>
  </si>
  <si>
    <t>- Process audits (monthly)</t>
  </si>
  <si>
    <t>Expected Maturity: 3.0</t>
  </si>
  <si>
    <t>PHASE 4: OPTIMIZATION (13-24 tháng)</t>
  </si>
  <si>
    <t>- AI/ML for incident prediction</t>
  </si>
  <si>
    <t>- Self-service portal advanced</t>
  </si>
  <si>
    <t>- Continuous improvement program</t>
  </si>
  <si>
    <t>- ISO 20000 certification (if applicable)</t>
  </si>
  <si>
    <t>- CMMI Level 3-4 assessment</t>
  </si>
  <si>
    <t>Expected Maturity: 3.5</t>
  </si>
  <si>
    <t>TÀI NGUYÊN &amp; NGÂN SÁCH DỰ TOÁN</t>
  </si>
  <si>
    <t>1. HEADCOUNT (NHÂN SỰ BỔ SUNG)</t>
  </si>
  <si>
    <t>Position</t>
  </si>
  <si>
    <t>FTE</t>
  </si>
  <si>
    <t>Salary/Year</t>
  </si>
  <si>
    <t>Total</t>
  </si>
  <si>
    <t>QA/PPQA Manager</t>
  </si>
  <si>
    <t>$80K</t>
  </si>
  <si>
    <t>QA Analyst</t>
  </si>
  <si>
    <t>$60K</t>
  </si>
  <si>
    <t>ITSM Compliance Analyst</t>
  </si>
  <si>
    <t>$70K</t>
  </si>
  <si>
    <t>SUBTOTAL HEADCOUNT</t>
  </si>
  <si>
    <t>$210K</t>
  </si>
  <si>
    <t>2. TOOLS &amp; TECHNOLOGY</t>
  </si>
  <si>
    <t>Item</t>
  </si>
  <si>
    <t>Cost/Year</t>
  </si>
  <si>
    <t>Notes</t>
  </si>
  <si>
    <t>Knowledge Base Tool</t>
  </si>
  <si>
    <t>Confluence</t>
  </si>
  <si>
    <t>Encryption Tools</t>
  </si>
  <si>
    <t>Data encryption</t>
  </si>
  <si>
    <t>Compliance Management Tool</t>
  </si>
  <si>
    <t>$20K</t>
  </si>
  <si>
    <t>OneTrust/similar</t>
  </si>
  <si>
    <t>Dashboard &amp; Reporting</t>
  </si>
  <si>
    <t>Power BI/Tableau</t>
  </si>
  <si>
    <t>Automation Platform</t>
  </si>
  <si>
    <t>$25K</t>
  </si>
  <si>
    <t>ServiceNow add-ons</t>
  </si>
  <si>
    <t>SUBTOTAL TOOLS</t>
  </si>
  <si>
    <t>$75K</t>
  </si>
  <si>
    <t>3. TRAINING &amp; DEVELOPMENT</t>
  </si>
  <si>
    <t>Cost</t>
  </si>
  <si>
    <t>ITIL 4 Certification (5 staff)</t>
  </si>
  <si>
    <t>Foundation + Practitioner</t>
  </si>
  <si>
    <t>CMMI Training</t>
  </si>
  <si>
    <t>QA team</t>
  </si>
  <si>
    <t>Compliance Training (all staff)</t>
  </si>
  <si>
    <t>GDPR, DORA, PCI DSS</t>
  </si>
  <si>
    <t>Technical Training (L1/L2)</t>
  </si>
  <si>
    <t>SUBTOTAL TRAINING</t>
  </si>
  <si>
    <t>4. CONSULTANT &amp; EXTERNAL SUPPORT</t>
  </si>
  <si>
    <t>ITSM Assessment &amp; Setup</t>
  </si>
  <si>
    <t>$50K</t>
  </si>
  <si>
    <t>3 months</t>
  </si>
  <si>
    <t>Process Documentation</t>
  </si>
  <si>
    <t>$30K</t>
  </si>
  <si>
    <t>2 months</t>
  </si>
  <si>
    <t>DORA Compliance Consultant</t>
  </si>
  <si>
    <t>$40K</t>
  </si>
  <si>
    <t>Tool Configuration</t>
  </si>
  <si>
    <t>ITSM tool setup</t>
  </si>
  <si>
    <t>SUBTOTAL CONSULTANT</t>
  </si>
  <si>
    <t>$140K</t>
  </si>
  <si>
    <t>TOTAL YEAR 1 INVESTMENT</t>
  </si>
  <si>
    <t>$545K</t>
  </si>
  <si>
    <t>EXPECTED SAVINGS &amp; ROI</t>
  </si>
  <si>
    <t>Savings Item</t>
  </si>
  <si>
    <t>Year 1 Savings</t>
  </si>
  <si>
    <t>Reduced downtime (40%)</t>
  </si>
  <si>
    <t>$300K</t>
  </si>
  <si>
    <t>Avoided fines (GDPR/DORA)</t>
  </si>
  <si>
    <t>$500K+</t>
  </si>
  <si>
    <t>Reduced failed changes</t>
  </si>
  <si>
    <t>$100K</t>
  </si>
  <si>
    <t>Improved efficiency</t>
  </si>
  <si>
    <t>$150K</t>
  </si>
  <si>
    <t>TOTAL SAVINGS</t>
  </si>
  <si>
    <t>$1,050K</t>
  </si>
  <si>
    <t>NET ROI</t>
  </si>
  <si>
    <t>93%</t>
  </si>
  <si>
    <t>PAYBACK PERIOD</t>
  </si>
  <si>
    <t>6-7 months</t>
  </si>
  <si>
    <t>ĐÁNH GIÁ HOẠT ĐỘNG ITSM</t>
  </si>
  <si>
    <t>IPAS/VNDIRECT/PTI</t>
  </si>
  <si>
    <t>Thời gian đánh giá</t>
  </si>
  <si>
    <t>Tháng 11/2025</t>
  </si>
  <si>
    <t>PQA</t>
  </si>
  <si>
    <t>QC</t>
  </si>
  <si>
    <t>Level</t>
  </si>
  <si>
    <t>Score</t>
  </si>
  <si>
    <t>Name</t>
  </si>
  <si>
    <t>Definition</t>
  </si>
  <si>
    <t>N/A</t>
  </si>
  <si>
    <t>Non-Existent</t>
  </si>
  <si>
    <t>Không có process</t>
  </si>
  <si>
    <t>0-25%</t>
  </si>
  <si>
    <t>INITIAL</t>
  </si>
  <si>
    <t>Ad-hoc, reactive</t>
  </si>
  <si>
    <t>26-50%</t>
  </si>
  <si>
    <t>MANAGED</t>
  </si>
  <si>
    <t>Basic, documented</t>
  </si>
  <si>
    <t>51-75%</t>
  </si>
  <si>
    <t>DEFINED</t>
  </si>
  <si>
    <t>Standardized, measured</t>
  </si>
  <si>
    <t>76-90%</t>
  </si>
  <si>
    <t>OPTIMIZED</t>
  </si>
  <si>
    <t>Automated, optimized</t>
  </si>
  <si>
    <t>91-100%</t>
  </si>
  <si>
    <t>WORLD-CLASS</t>
  </si>
  <si>
    <t>Excellence, AI-driven</t>
  </si>
  <si>
    <t>SCORE</t>
  </si>
  <si>
    <t>Thuy.Dang</t>
  </si>
  <si>
    <t>3rd Party Management</t>
  </si>
  <si>
    <t>Configuration Management (CMDB)</t>
  </si>
  <si>
    <t>Initial (Late)</t>
  </si>
  <si>
    <t>Cơ cấu tổ chức cho ITSM</t>
  </si>
  <si>
    <t>Escalation path</t>
  </si>
  <si>
    <t>10-20%</t>
  </si>
  <si>
    <t>60-75%</t>
  </si>
  <si>
    <t>Request Management (Admin Team)</t>
  </si>
  <si>
    <t>#</t>
  </si>
  <si>
    <t>Finding</t>
  </si>
  <si>
    <t>% Current</t>
  </si>
  <si>
    <t>Action</t>
  </si>
  <si>
    <t>Timeline</t>
  </si>
  <si>
    <t>Metrics not tracked (SLA %, cycle time)</t>
  </si>
  <si>
    <t>Cannot measure performance, justify resources</t>
  </si>
  <si>
    <t>Setup dashboard tracking 5 key metrics</t>
  </si>
  <si>
    <t>NO quality &amp; CSAT measurement</t>
  </si>
  <si>
    <t>Don't know if users happy or quality good</t>
  </si>
  <si>
    <t>Create CSAT survey, quality metrics</t>
  </si>
  <si>
    <t>Weak ITSM integration (all manual)</t>
  </si>
  <si>
    <t>Cannot do impact analysis, leverage data</t>
  </si>
  <si>
    <t>Auto-link incidents/changes, CMDB update</t>
  </si>
  <si>
    <t>NO formal service review</t>
  </si>
  <si>
    <t>Problems repeat, trends not identified</t>
  </si>
  <si>
    <t>Setup monthly review with bottleneck analysis</t>
  </si>
  <si>
    <t>Weak user engagement (25%)</t>
  </si>
  <si>
    <t>Users don't know SLA, no feedback channel</t>
  </si>
  <si>
    <t>Communicate SLA clearly, setup feedback</t>
  </si>
  <si>
    <t>NO business service mapping (25%)</t>
  </si>
  <si>
    <t>Cannot prioritize by business impact</t>
  </si>
  <si>
    <t>Map requests to services, improve prioritization</t>
  </si>
  <si>
    <t>Area</t>
  </si>
  <si>
    <t>RM</t>
  </si>
  <si>
    <t>Quick Win</t>
  </si>
  <si>
    <t>Effort</t>
  </si>
  <si>
    <t>Success Criteria</t>
  </si>
  <si>
    <t>Metrics &amp; SLA Dashboard</t>
  </si>
  <si>
    <t>Low (2-3d)</t>
  </si>
  <si>
    <t>High</t>
  </si>
  <si>
    <t>Quality Verification Checklist trước delivery</t>
  </si>
  <si>
    <t>Low (1-2d)</t>
  </si>
  <si>
    <t>Monthly RM Service Reviews (bottleneck ID)</t>
  </si>
  <si>
    <t>Low (1d)</t>
  </si>
  <si>
    <t>User SLA Communication</t>
  </si>
  <si>
    <t>10-25%</t>
  </si>
  <si>
    <t>50-60%</t>
  </si>
  <si>
    <t>5-15%</t>
  </si>
  <si>
    <t>PRIORITY</t>
  </si>
  <si>
    <t>Owner</t>
  </si>
  <si>
    <t>Incident Manager role not defined</t>
  </si>
  <si>
    <t>No one owns IM quality</t>
  </si>
  <si>
    <t>Define &amp; assign Incident Manager role + responsibilities</t>
  </si>
  <si>
    <t>SLA not approved per severity (P1-P4)</t>
  </si>
  <si>
    <t>No resolution target → cannot measure performance</t>
  </si>
  <si>
    <t>Define SLA per severity, get approval</t>
  </si>
  <si>
    <t>Escalation path ad-hoc, not formal</t>
  </si>
  <si>
    <t>Incidents escalate slowly → delayed resolution</t>
  </si>
  <si>
    <t>Create escalation matrix by severity/type</t>
  </si>
  <si>
    <t>Workflow automation 0% - all manual</t>
  </si>
  <si>
    <t>Manual work = 80% admin time → slow response</t>
  </si>
  <si>
    <t>Setup auto incident creation, auto-assign, priority</t>
  </si>
  <si>
    <t>ITSM integration 0% (Problem/Change/CMDB)</t>
  </si>
  <si>
    <t>Cannot do impact analysis → wrong decisions</t>
  </si>
  <si>
    <t>Integrate incidents with Problem/Change/CMDB</t>
  </si>
  <si>
    <t>ITIL/ISO compliance 0%</t>
  </si>
  <si>
    <t>Not industry standard → audit risk</t>
  </si>
  <si>
    <t>Implement ITIL IM practices, plan audit</t>
  </si>
  <si>
    <t>Incident</t>
  </si>
  <si>
    <t>Define Incident Manager &amp; SLA</t>
  </si>
  <si>
    <t>High - Critical path</t>
  </si>
  <si>
    <t>Role assigned, SLA approved</t>
  </si>
  <si>
    <t>Create Escalation Matrix</t>
  </si>
  <si>
    <t>High - Better response</t>
  </si>
  <si>
    <t>Matrix documented &amp; trained</t>
  </si>
  <si>
    <t>Update IM Policy</t>
  </si>
  <si>
    <t>High - Foundation</t>
  </si>
  <si>
    <t>Policy updated &amp; communicated</t>
  </si>
  <si>
    <t>Define Review Frequency</t>
  </si>
  <si>
    <t>Medium - Consistency</t>
  </si>
  <si>
    <t>Calendar active, team aware</t>
  </si>
  <si>
    <t>Add Data Quality &amp; KB</t>
  </si>
  <si>
    <t>Medium (3-5d)</t>
  </si>
  <si>
    <t>Medium - Data trust</t>
  </si>
  <si>
    <t>Quality checks active, FAQ ready</t>
  </si>
  <si>
    <t>https://cm.grafana.net/public-dashboards/b1c8d5f65d14479bb1fb9af00c2ef238?from=2025-10-19T03:12:50.306Z&amp;to=2025-12-22T03:12:50.306Z&amp;timezone=browser</t>
  </si>
  <si>
    <t>65-75%</t>
  </si>
  <si>
    <t>10-15%</t>
  </si>
  <si>
    <t>TARGET (1 Year)</t>
  </si>
  <si>
    <t>45-60%</t>
  </si>
  <si>
    <t>35-50%</t>
  </si>
  <si>
    <t>Phân tích rủi ro chưa có thang đánh giá và phân loại</t>
  </si>
  <si>
    <t>Không phân loại mức rủi ro, không có escalation path, tất cả đều theo luồng chung nên có thể sẽ bị chậm do không có đánh giấu ưu tiên</t>
  </si>
  <si>
    <t>- Tạo thang đánh giá rủi ro 1-5
- Xác định các tiêu chí thay đổi cao rủi ro
- Tạo đường dẫn escalation (escalation path)
- Ghi nhận thành tài liệu</t>
  </si>
  <si>
    <t>Change Management,  CAB team, PQA</t>
  </si>
  <si>
    <t>Chưa có quy định về lưu trữ và backup dữ liệu CR</t>
  </si>
  <si>
    <t>- Không biết thời gian lưu giữ dữ liệu RFC
- Không có Kế hoạch khôi phục khi xảy ra sự cố (DR)
- Mất khả năng truy vết lịch sử thay đổi (traceability)</t>
  </si>
  <si>
    <t>- Định rõ chính sách lưu giữ (thời hạn lưu trữ, theo iTIL thì 1-3-5 năm tùy theo Tier, ISO 27001: 5 năm)
- Tạo quy trình sao lưu hàng tháng
- Test quy trình khôi phục (restore)</t>
  </si>
  <si>
    <t>Change Management, Infra</t>
  </si>
  <si>
    <t>Chưa triển khai Audit đối với hoạt động CM</t>
  </si>
  <si>
    <t xml:space="preserve">Không track được tuân thủ với chính sách, không đánh giá được các rủi ro vi phạm và có </t>
  </si>
  <si>
    <t>- Lên lịch compliance audit
- Xác định phạm vi audit &amp; danh sách kiểm tra (checklist)
- Ghi lại các vi phạm &amp; Kế hoạch khắc phục</t>
  </si>
  <si>
    <t>Change Management, PQA</t>
  </si>
  <si>
    <t>CR template quá dài, nhiều thông tin chưa có cơ chế đánh giá, xác thực (ví dụ: Đánh giá ảnh hưởng, đánh giá rủi ro…)</t>
  </si>
  <si>
    <t>Khó khăn cho người tạo CR và review/phê duyệt CR</t>
  </si>
  <si>
    <t>- Đơn giản hóa template theo loại CR
- Bổ sung đánh giá ảnh hưởng, đánh giá rủi ro
- Bổ sung KMS cho tra cứu các hướng dẫn liên quan CR, CM</t>
  </si>
  <si>
    <t>Change Management, Development team, CAB, PQA</t>
  </si>
  <si>
    <t>Communication Plan chưa có hướng dẫn cụ thể</t>
  </si>
  <si>
    <t>- Team giao tiếp ad-hoc (không có quy trình)
- Thông tin không nhất quán giữa các team
- Rủi ro ảnh hưởng đến uy tín do phối hợp truyền thông đến KH</t>
  </si>
  <si>
    <t>- Xác định các nhóm đối tượng cần thông báo (stakeholder groups)
- Lên lịch thông báo: trước/trong/sau thay đổi (pre/during/post-change)
- Ghi nhận thành tài liệu</t>
  </si>
  <si>
    <t>Change Management Team, Product team, PQA</t>
  </si>
  <si>
    <t>CAB thiếu quy định tiêu chí đánh giá &amp; họp định kỳ</t>
  </si>
  <si>
    <t>- Thiếu tiêu chí đánh giá ổn định có thể dẫn tới quyết định của CAB không nhất quán
- Không có tracking định kỳ</t>
  </si>
  <si>
    <t>- Xác định tiêu chí đánh giá chính
- Xác định lịch họp CAB định kỳ
- Ghi nhận decision log</t>
  </si>
  <si>
    <t>Change Management Team, CAB</t>
  </si>
  <si>
    <t>RACI chưa có tài liệu chính thức</t>
  </si>
  <si>
    <t>- Không rõ trách nhiệm và quyền hạn, có thể gây xung đột trong quyết định CM
- Khó Audit</t>
  </si>
  <si>
    <t>- Ban hành bổ sung RACI
- Có cơ chế cập nhật khi phát sinh thay đổi</t>
  </si>
  <si>
    <t>Change Management Team, PQA</t>
  </si>
  <si>
    <t>Change Failure Request (CFR) Root Causes chưa có phân tích chiến lược</t>
  </si>
  <si>
    <t>Không hiểu nguyên nhân gốc của các request Fail sẽ khó improve</t>
  </si>
  <si>
    <t>Phân tích top 3 nguyên nhân gốc của các CFR để có kế hoạch cải thiện</t>
  </si>
  <si>
    <t>Change Management Team, Development team, PQA</t>
  </si>
  <si>
    <t>Incident-Change Linkage thực hiện manual</t>
  </si>
  <si>
    <t xml:space="preserve">	- Incident investigation cần truy vết thủ công
- Effort cao, thời gian xử lý (TAT) chậm</t>
  </si>
  <si>
    <t xml:space="preserve">	- Xây dựng query tự động hóa liên kết incident-change
- Tích hợp API
- Test tự động hóa &amp; đào tạo team</t>
  </si>
  <si>
    <t>Change Management Team, Incident Management Team, Development team, PQA</t>
  </si>
  <si>
    <t>CMDB Integration chưa thiết lập</t>
  </si>
  <si>
    <t xml:space="preserve">	- Không biết thay đổi ảnh hưởng những cấu hình nào 
- Không track dependencies giữa các CIs
- Khó phân tích nguyên nhân gốc (root cause analysis)</t>
  </si>
  <si>
    <t>- Xác định các CIs chính yếu (core CIs)
- Ánh xạ Change Request với CIs
- Tích hợp CMDB với Jira
- Tự động cập nhật khi deployment</t>
  </si>
  <si>
    <t>Change Management Team, Development team, Infra</t>
  </si>
  <si>
    <t>Sonar đang tạm dừng hoạt động</t>
  </si>
  <si>
    <t>Quality control yếu</t>
  </si>
  <si>
    <t>- Restart lại Sonar</t>
  </si>
  <si>
    <t>Trao đổi thêm với Devops</t>
  </si>
  <si>
    <t>PIR chưa kết nối CI/CD, kiểm tra manual</t>
  </si>
  <si>
    <t>- Không biết PIR có match với deployment thực tế Không
- Không track Tự động success metrics</t>
  </si>
  <si>
    <t>- Tự động hóa kết nối giữa Jira &amp; deployment tools
- Tạo PIR success metrics
- Tự động kích hoạt PIR khi deploy</t>
  </si>
  <si>
    <t>Change Management Team, DevOps Team, VHUD</t>
  </si>
  <si>
    <t>Maintenance Window chưa có quy định criticality-based</t>
  </si>
  <si>
    <t>- Truyền Thông Không đồng nhất
- Khách hàng Không biết lịch maintenance</t>
  </si>
  <si>
    <t xml:space="preserve">	- Định rõ chính sách maintenance window theo criticality (P1/P2/P3)
- Tạo template thông báo
- Cập nhật SLA</t>
  </si>
  <si>
    <t>Change Freeze Periods chưa có quy định cụ thể</t>
  </si>
  <si>
    <t>Ảnh hưởng Sprint Planning</t>
  </si>
  <si>
    <t>- Tạo chính sách freeze period
- Thông báo 30 ngày trước (advance notification)
- Truyền thông lịch hàng quý
- Tích hợp vào sprint planning</t>
  </si>
  <si>
    <t>Change Management Team, Development Team</t>
  </si>
  <si>
    <t>Dashboard chưa tự động lấy dữ liệu theo thời gian chọn</t>
  </si>
  <si>
    <t>- Lãnh đạo Không có data real-time để quyết định
- Tracking SLA Không chính Xác</t>
  </si>
  <si>
    <t>- Xây dựng tự động hóa dashboard (API/query)
- Thêm date picker để chọn khoảng thời gian
- Xuất bản hàng tuần/tháng
- Setup real-time alerts</t>
  </si>
  <si>
    <t>Change Management Team, BI team?</t>
  </si>
  <si>
    <t>Batch Approval cho nhóm change liên quan chưa có</t>
  </si>
  <si>
    <t>- Approval process Không tối ưu</t>
  </si>
  <si>
    <t>- Ánh xạ services với hệ thống hiện tại
- Nhóm changes theo service
- cập nhật batch Approval workflow
- Test quy trình</t>
  </si>
  <si>
    <t>Change Management Team, Service Owner, Infra, Development Team</t>
  </si>
  <si>
    <t>Feedback &amp; Improvement chưa có backlog cụ thể</t>
  </si>
  <si>
    <t>Chưa có roadmap cho cải thiện nên chưa có hiệu quả</t>
  </si>
  <si>
    <t xml:space="preserve">	- Tạo template improvement backlog
- Review hàng tháng với team
- Ưu tiên theo tác động (impact) &amp; nỗ lực (effort)
- Theo dõi hoàn thành</t>
  </si>
  <si>
    <t>Change Management Team, ITSM lead</t>
  </si>
  <si>
    <t>Training CM chưa đặc thù &amp; chuyên sâu</t>
  </si>
  <si>
    <t>Chưa có training cho CM, chủ yếu tự học</t>
  </si>
  <si>
    <t>- Thiết kế training CM chuyên sâu (ITIL 4 Practice)</t>
  </si>
  <si>
    <t>Change Management Team, ITSM lead, L&amp;D, HR</t>
  </si>
  <si>
    <t>Chứng chỉ &amp; yêu cầu năng lực CM chưa định rõ</t>
  </si>
  <si>
    <t>- Không có Kế hoạch tuyển dụng
- rủi ro Mất nhân tài, năng lực Không scale</t>
  </si>
  <si>
    <t>Xây dựng 4P next gen cho CM</t>
  </si>
  <si>
    <t>ITSM lead, HR</t>
  </si>
  <si>
    <t>Backlog và roadmap cho improvement mảng CM</t>
  </si>
  <si>
    <t>Change freeze periods documentation</t>
  </si>
  <si>
    <t xml:space="preserve"> Đơn giản hóa template theo loại CR và bổ sung KMS</t>
  </si>
  <si>
    <t>Xác định phạm vi audit &amp; danh sách kiểm tra (checklist)</t>
  </si>
  <si>
    <t>Chính sách CMDB chưa formal</t>
  </si>
  <si>
    <t>Không rõ scope, CI types, roles → quản lý không nhất quán</t>
  </si>
  <si>
    <t>Tạo CMDB Policy Charter document</t>
  </si>
  <si>
    <t>Không có tool CMDB - sử dụng Excel</t>
  </si>
  <si>
    <t>Không thể tự động, không relationship mapping, không integration</t>
  </si>
  <si>
    <t>Đánh giá &amp; select CMDB tool (ServiceNow/Remedy)</t>
  </si>
  <si>
    <t>Chưa map CI relationships &amp; service dependencies</t>
  </si>
  <si>
    <t>Không biết service nào phụ thuộc CI nào → không tính impact được</t>
  </si>
  <si>
    <t>Map service-to-CI cho top 10 services</t>
  </si>
  <si>
    <t>Không có audit trail &amp; audit process</t>
  </si>
  <si>
    <t>Không track thay đổi (ai, khi nào) → rủi ro compliance</t>
  </si>
  <si>
    <t>Setup audit logging, monthly audits</t>
  </si>
  <si>
    <t>CI Owners không được gán rõ ràng</t>
  </si>
  <si>
    <t>Không ai chịu trách nhiệm keep data accurate → dữ liệu lỗi thời</t>
  </si>
  <si>
    <t>Gán CI Owner cho mỗi hệ thống</t>
  </si>
  <si>
    <t>Không có CMDB Steward role &amp; governance</t>
  </si>
  <si>
    <t>Không ai quản lý tổng thể CMDB, conflicts không resolve</t>
  </si>
  <si>
    <t>Assign CMDB Steward</t>
  </si>
  <si>
    <t>Không có KPI đo CMDB effectiveness</t>
  </si>
  <si>
    <t>Không biết coverage, quality → không justify investment</t>
  </si>
  <si>
    <t>Define metrics, create dashboard</t>
  </si>
  <si>
    <t>CMDB không integrate Incident &amp; Change</t>
  </si>
  <si>
    <t>Incident/Change workflows không dùng CMDB data → không update</t>
  </si>
  <si>
    <t>Integrate CMDB with tools</t>
  </si>
  <si>
    <t>Không có data quality standards</t>
  </si>
  <si>
    <t>Duplicate CIs, inconsistent data → không tin tưởng CMDB</t>
  </si>
  <si>
    <t>Define quality standards, validation</t>
  </si>
  <si>
    <t>Không có auto-population từ monitoring tools</t>
  </si>
  <si>
    <t>Manual data entry → thời gian lãng phí, data lag</t>
  </si>
  <si>
    <t>Setup data feeds từ monitoring tools</t>
  </si>
  <si>
    <t>CMDB team part-time, không training</t>
  </si>
  <si>
    <t>CMDB không ưu tiên, team burnout, knowledge loss</t>
  </si>
  <si>
    <t>Assign dedicated CMDB Admin, provide training</t>
  </si>
  <si>
    <t>Configuration</t>
  </si>
  <si>
    <t>CMDB Policy Charter Document</t>
  </si>
  <si>
    <t>CI Owner Assignment &amp; CMDB Steward</t>
  </si>
  <si>
    <t>CI Classification &amp; Naming Convention</t>
  </si>
  <si>
    <t>Improve Excel CMDB Search</t>
  </si>
  <si>
    <t>NO audit checklists (IM, CM, PM)</t>
  </si>
  <si>
    <t>Audits ad-hoc, inconsistent</t>
  </si>
  <si>
    <t>Create standardized checklists</t>
  </si>
  <si>
    <t>Audit frequency yearly only</t>
  </si>
  <si>
    <t>Cannot identify trends</t>
  </si>
  <si>
    <t>Plan quarterly audits</t>
  </si>
  <si>
    <t>Coverage only 3% (1/30 processes)</t>
  </si>
  <si>
    <t>Most processes never audited</t>
  </si>
  <si>
    <t>Create 3-year plan for 80% coverage</t>
  </si>
  <si>
    <t>Metrics almost ZERO (10%)</t>
  </si>
  <si>
    <t>Cannot measure PQA effectiveness</t>
  </si>
  <si>
    <t>Define &amp; track 5 key metrics</t>
  </si>
  <si>
    <t>NO maturity assessment</t>
  </si>
  <si>
    <t>Cannot prioritize improvements</t>
  </si>
  <si>
    <t>Use maturity framework (ITIL)</t>
  </si>
  <si>
    <t>NO escalation for critical findings</t>
  </si>
  <si>
    <t>Critical issues ignored</t>
  </si>
  <si>
    <t>Define escalation procedure</t>
  </si>
  <si>
    <t>Metrics và Improvement</t>
  </si>
  <si>
    <t>Resource &amp; Training</t>
  </si>
  <si>
    <t>KMS</t>
  </si>
  <si>
    <t>Audit Checklists (3-5 types)</t>
  </si>
  <si>
    <t>Quarterly Audit Schedule</t>
  </si>
  <si>
    <t>PQA Metrics Dashboard</t>
  </si>
  <si>
    <t>Escalation Procedure</t>
  </si>
  <si>
    <t>Hire QA Resource (0.5 FTE)</t>
  </si>
  <si>
    <t>(blank)</t>
  </si>
  <si>
    <t>Grand Total</t>
  </si>
  <si>
    <t>Row Labels</t>
  </si>
  <si>
    <t>Count of Finding</t>
  </si>
  <si>
    <t>25-40%</t>
  </si>
  <si>
    <t>3PM</t>
  </si>
  <si>
    <t>NO formal 3PM Policy</t>
  </si>
  <si>
    <t>Write formal policy, CIO approve</t>
  </si>
  <si>
    <t>NO Vendor Classification</t>
  </si>
  <si>
    <t>Create critical/high/medium/low matrix</t>
  </si>
  <si>
    <t>NO Risk Assessment</t>
  </si>
  <si>
    <t>Define risk assessment framework</t>
  </si>
  <si>
    <t>NO Roles &amp; Authority</t>
  </si>
  <si>
    <t>Document vendor manager roles</t>
  </si>
  <si>
    <t>NO SLA Monitoring</t>
  </si>
  <si>
    <t>Setup SLA dashboard, weekly reports</t>
  </si>
  <si>
    <t>NO Vendor Metrics</t>
  </si>
  <si>
    <t>Define &amp; track 5-7 KPIs per vendor</t>
  </si>
  <si>
    <t>Formal 3PM Policy</t>
  </si>
  <si>
    <t>Vendor Classification</t>
  </si>
  <si>
    <t>Vendor Manager Roles</t>
  </si>
  <si>
    <t>SLA Dashboard</t>
  </si>
  <si>
    <t>Count of Quick Win</t>
  </si>
  <si>
    <t>Không có chiến lược và roadmap QC rõ ràng</t>
  </si>
  <si>
    <t>Không có quy trình test planning được chuẩn hóa</t>
  </si>
  <si>
    <t>Chưa có metrics và KPIs cho QA/QC</t>
  </si>
  <si>
    <t>Không đo lường được test coverage</t>
  </si>
  <si>
    <t>Không có chiến lược test automation</t>
  </si>
  <si>
    <t>Không có quy trình test data management</t>
  </si>
  <si>
    <t>Không tuân thủ các chuẩn QC quốc tế</t>
  </si>
  <si>
    <t>Quy trình Defect Management không được chuẩn hóa</t>
  </si>
  <si>
    <t>Quality gates không được thực thi đầy đủ</t>
  </si>
  <si>
    <t>Chỉ có 1 test environment, không có configuration management</t>
  </si>
  <si>
    <t>Chính sách QC chỉ ở mức high-level và hiếm khi được cập nhật</t>
  </si>
  <si>
    <t>RACI matrix không được tài liệu hóa</t>
  </si>
  <si>
    <t>Quy trình regression testing không rõ ràng</t>
  </si>
  <si>
    <t>Performance testing chỉ làm theo yêu cầu, không có benchmarks</t>
  </si>
  <si>
    <t>Skill gaps đáng kể và không có training có tổ chức</t>
  </si>
  <si>
    <t>Không có defect triage process định kỳ</t>
  </si>
  <si>
    <t>Không có test execution reports</t>
  </si>
  <si>
    <t>Tỷ lệ team biết automation tools thấp (25-30%)</t>
  </si>
  <si>
    <t>Không có release testing process, rollback plan không chi tiết</t>
  </si>
  <si>
    <t>Không có quy trình continuous improvement và roadmap nâng cao capability</t>
  </si>
  <si>
    <t>Không rõ về tuân thủ GDPR và data protection trong testing</t>
  </si>
  <si>
    <t>Thiếu định hướng dài hạn, không thể đo lường tiến bộ, không liên kết với mục tiêu kinh doanh</t>
  </si>
  <si>
    <t>Thiếu tính nhất quán, khó đảm bảo chất lượng test, không thể quản lý rủi ro hiệu quả</t>
  </si>
  <si>
    <t>Không thể đo lường hiệu quả QC, không có cơ sở để cải tiến, không thể chứng minh giá trị</t>
  </si>
  <si>
    <t>Không biết được mức độ test đầy đủ, rủi ro cao về untested code, không thể tối ưu effort</t>
  </si>
  <si>
    <t>Automation không có hướng đi rõ ràng, lãng phí resources, ROI thấp</t>
  </si>
  <si>
    <t>Test data không đáng tin cậy, rủi ro bảo mật cao, tốn thời gian setup manual</t>
  </si>
  <si>
    <t>Không đáp ứng yêu cầu compliance, khó đối chiếu với best practices, rủi ro trong audit</t>
  </si>
  <si>
    <t>Bugs không được xử lý nhất quán, khó prioritize, không có accountability</t>
  </si>
  <si>
    <t>Code quality không được đảm bảo, bugs có thể leak sang production</t>
  </si>
  <si>
    <t>Bottleneck trong testing, conflicts giữa các team, không thể test parallel</t>
  </si>
  <si>
    <t>Chính sách không đủ chi tiết để hướng dẫn thực thi, không theo kịp thực tế</t>
  </si>
  <si>
    <t>Thiếu clarity về trách nhiệm khi có thay đổi team hoặc escalation</t>
  </si>
  <si>
    <t>Edge cases không được cover, rủi ro regression bugs</t>
  </si>
  <si>
    <t>Performance issues có thể không được phát hiện sớm, không có baseline để so sánh</t>
  </si>
  <si>
    <t>Team capability không được phát triển, phụ thuộc vào self-learning</t>
  </si>
  <si>
    <t>Bugs resolution có thể chậm, thiếu forum để discuss technical issues</t>
  </si>
  <si>
    <t>Stakeholders không có visibility về test progress và quality status</t>
  </si>
  <si>
    <t>Automation không scale được, phụ thuộc vào một số người</t>
  </si>
  <si>
    <t>Rủi ro cao khi release production, không có safety net</t>
  </si>
  <si>
    <t>QC capability không được cải thiện có hệ thống</t>
  </si>
  <si>
    <t>Rủi ro compliance với data protection regulations</t>
  </si>
  <si>
    <t>Xây dựng QC Strategy 3-5 năm với roadmap chi tiết, KPIs đo lường, và liên kết trực tiếp với business objectives</t>
  </si>
  <si>
    <t>Thiết lập quy trình Test Planning chuẩn với template, timeline, và approval workflow rõ ràng</t>
  </si>
  <si>
    <t>Thiết lập bộ KPIs QC core (Test Coverage, Defect Density, Automation Rate, etc.) với targets và dashboards</t>
  </si>
  <si>
    <t>Triển khai công cụ đo coverage (code coverage, requirement coverage) và thiết lập target tối thiểu</t>
  </si>
  <si>
    <t>Xây dựng Test Automation Strategy với roadmap, tool selection, training plan, và ROI targets</t>
  </si>
  <si>
    <t>Thiết lập Test Data Management strategy với data provisioning, masking, và governance process</t>
  </si>
  <si>
    <t>Áp dụng framework chuẩn (ISTQB, ISO 29119) và thiết lập traceability từ requirements đến test results</t>
  </si>
  <si>
    <t>Chuẩn hóa Defect Management process với priority/severity matrix, SLA theo mức độ, và workflow rõ ràng</t>
  </si>
  <si>
    <t>Thực thi quality gates nghiêm ngặt: build fail khi test fail, mandatory test coverage checks</t>
  </si>
  <si>
    <t>Thiết lập multiple test environments (Dev, SIT, UAT) với automation provisioning và config management</t>
  </si>
  <si>
    <t>Phát triển QC Policy riêng biệt, chi tiết hơn với cơ chế review định kỳ (6 tháng/lần)</t>
  </si>
  <si>
    <t>Tài liệu hóa RACI matrix cho tất cả QC activities và update định kỳ</t>
  </si>
  <si>
    <t>Chuẩn hóa regression testing process, tăng automation coverage, bao gồm edge cases</t>
  </si>
  <si>
    <t>Thiết lập performance benchmarks và làm load testing định kỳ cho critical systems</t>
  </si>
  <si>
    <t>Thiết lập training program có cấu trúc với focus vào automation, test design, và domain knowledge</t>
  </si>
  <si>
    <t>Thiết lập defect triage meetings định kỳ (weekly) giữa QC và Dev</t>
  </si>
  <si>
    <t>Thiết lập automated test reporting với key metrics và trends</t>
  </si>
  <si>
    <t>Training toàn bộ QC team về automation tools, thiết lập automation champions</t>
  </si>
  <si>
    <t>Thiết lập release testing phase với checklist và rollback plan chi tiết</t>
  </si>
  <si>
    <t>Thiết lập continuous improvement process (retrospectives, lessons learned) và maturity roadmap</t>
  </si>
  <si>
    <t>Đánh giá compliance gap và thiết lập data protection controls cho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</si>
</sst>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3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9.6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  <fill>
      <patternFill patternType="solid">
        <fgColor rgb="FF92D05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00B050"/>
        <bgColor rgb="FF00B050"/>
      </patternFill>
    </fill>
    <fill>
      <patternFill patternType="solid">
        <fgColor rgb="FFE6FFE6"/>
        <bgColor rgb="FFE6FF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6"/>
        <bgColor rgb="FFFFEB9C"/>
      </patternFill>
    </fill>
    <fill>
      <patternFill patternType="solid">
        <fgColor theme="6" tint="0.79998168889431442"/>
        <bgColor rgb="FFFFE6E6"/>
      </patternFill>
    </fill>
    <fill>
      <patternFill patternType="solid">
        <fgColor theme="7" tint="0.79998168889431442"/>
        <bgColor rgb="FFFFE6E6"/>
      </patternFill>
    </fill>
    <fill>
      <patternFill patternType="solid">
        <fgColor theme="5" tint="0.59999389629810485"/>
        <bgColor rgb="FFFF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E6E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E6E6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5" fillId="0" borderId="0" xfId="0" applyFont="1"/>
    <xf numFmtId="0" fontId="7" fillId="3" borderId="0" xfId="0" applyFont="1" applyFill="1"/>
    <xf numFmtId="0" fontId="9" fillId="5" borderId="1" xfId="0" applyFont="1" applyFill="1" applyBorder="1"/>
    <xf numFmtId="0" fontId="0" fillId="0" borderId="1" xfId="0" applyBorder="1"/>
    <xf numFmtId="0" fontId="1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0" fontId="12" fillId="5" borderId="0" xfId="0" applyFont="1" applyFill="1"/>
    <xf numFmtId="0" fontId="12" fillId="0" borderId="0" xfId="0" applyFont="1"/>
    <xf numFmtId="0" fontId="0" fillId="0" borderId="0" xfId="0"/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0" fontId="17" fillId="5" borderId="1" xfId="0" applyFont="1" applyFill="1" applyBorder="1"/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5" fillId="5" borderId="1" xfId="1" applyNumberFormat="1" applyFont="1" applyFill="1" applyBorder="1" applyAlignment="1">
      <alignment horizontal="center" vertical="center"/>
    </xf>
    <xf numFmtId="0" fontId="6" fillId="11" borderId="0" xfId="0" applyFont="1" applyFill="1"/>
    <xf numFmtId="0" fontId="0" fillId="12" borderId="1" xfId="0" applyFill="1" applyBorder="1" applyAlignment="1">
      <alignment vertical="top" wrapText="1"/>
    </xf>
    <xf numFmtId="0" fontId="18" fillId="9" borderId="0" xfId="0" applyFont="1" applyFill="1"/>
    <xf numFmtId="0" fontId="19" fillId="0" borderId="0" xfId="0" applyFont="1"/>
    <xf numFmtId="0" fontId="19" fillId="16" borderId="1" xfId="0" applyFont="1" applyFill="1" applyBorder="1" applyAlignment="1">
      <alignment vertical="top" wrapText="1"/>
    </xf>
    <xf numFmtId="0" fontId="19" fillId="10" borderId="1" xfId="0" applyFont="1" applyFill="1" applyBorder="1" applyAlignment="1">
      <alignment vertical="top" wrapText="1"/>
    </xf>
    <xf numFmtId="0" fontId="19" fillId="17" borderId="1" xfId="0" applyFont="1" applyFill="1" applyBorder="1" applyAlignment="1">
      <alignment vertical="top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vertical="top" wrapText="1"/>
    </xf>
    <xf numFmtId="0" fontId="19" fillId="19" borderId="1" xfId="0" applyFont="1" applyFill="1" applyBorder="1" applyAlignment="1">
      <alignment vertical="top" wrapText="1"/>
    </xf>
    <xf numFmtId="0" fontId="19" fillId="19" borderId="1" xfId="0" applyFont="1" applyFill="1" applyBorder="1"/>
    <xf numFmtId="10" fontId="0" fillId="19" borderId="1" xfId="0" applyNumberForma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1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/>
    </xf>
    <xf numFmtId="0" fontId="19" fillId="20" borderId="1" xfId="0" applyFont="1" applyFill="1" applyBorder="1"/>
    <xf numFmtId="0" fontId="0" fillId="21" borderId="1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22" borderId="1" xfId="0" applyFont="1" applyFill="1" applyBorder="1" applyAlignment="1">
      <alignment horizontal="center" vertical="center"/>
    </xf>
    <xf numFmtId="0" fontId="19" fillId="22" borderId="1" xfId="0" applyFont="1" applyFill="1" applyBorder="1"/>
    <xf numFmtId="0" fontId="0" fillId="23" borderId="1" xfId="0" applyFill="1" applyBorder="1" applyAlignment="1">
      <alignment vertical="top" wrapText="1"/>
    </xf>
    <xf numFmtId="2" fontId="0" fillId="8" borderId="1" xfId="0" applyNumberFormat="1" applyFill="1" applyBorder="1" applyAlignment="1">
      <alignment horizontal="center" vertical="center" wrapText="1"/>
    </xf>
    <xf numFmtId="0" fontId="6" fillId="2" borderId="0" xfId="0" applyFont="1" applyFill="1"/>
    <xf numFmtId="0" fontId="0" fillId="0" borderId="0" xfId="0"/>
    <xf numFmtId="0" fontId="0" fillId="0" borderId="0" xfId="0" applyAlignment="1">
      <alignment horizontal="left" vertical="center" wrapText="1"/>
    </xf>
    <xf numFmtId="0" fontId="7" fillId="3" borderId="0" xfId="0" applyFont="1" applyFill="1"/>
    <xf numFmtId="0" fontId="8" fillId="4" borderId="0" xfId="0" applyFont="1" applyFill="1"/>
    <xf numFmtId="0" fontId="1" fillId="0" borderId="0" xfId="0" applyFont="1" applyAlignment="1">
      <alignment horizontal="center" vertical="center" wrapText="1"/>
    </xf>
    <xf numFmtId="0" fontId="10" fillId="0" borderId="0" xfId="0" applyFont="1"/>
    <xf numFmtId="0" fontId="11" fillId="6" borderId="1" xfId="0" applyFont="1" applyFill="1" applyBorder="1" applyAlignment="1">
      <alignment horizontal="center" vertical="center" wrapText="1"/>
    </xf>
    <xf numFmtId="0" fontId="12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y Dang Thi Hong (IPAS_DBA)" refreshedDate="45981.616665972222" createdVersion="6" refreshedVersion="6" minRefreshableVersion="3" recordCount="26" xr:uid="{264E2FEF-4A7B-484A-B928-8239235C7648}">
  <cacheSource type="worksheet">
    <worksheetSource ref="A1:A1048576" sheet="Quick Wins"/>
  </cacheSource>
  <cacheFields count="1">
    <cacheField name="QUICK WINS - CẢI TIẾN NHANH (0-3 THÁNG)" numFmtId="0">
      <sharedItems containsBlank="1" containsMixedTypes="1" containsNumber="1" containsInteger="1" minValue="1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y Dang Thi Hong (IPAS_DBA)" refreshedDate="45981.621769907404" createdVersion="6" refreshedVersion="6" minRefreshableVersion="3" recordCount="57" xr:uid="{2F5586C5-1715-4174-898C-F3F1783ED7C7}">
  <cacheSource type="worksheet">
    <worksheetSource ref="A2:H1048576" sheet="Key Findings"/>
  </cacheSource>
  <cacheFields count="8">
    <cacheField name="#" numFmtId="0">
      <sharedItems containsString="0" containsBlank="1" containsNumber="1" containsInteger="1" minValue="1" maxValue="54"/>
    </cacheField>
    <cacheField name="Area" numFmtId="0">
      <sharedItems containsBlank="1" count="7">
        <s v="RM"/>
        <s v="Incident"/>
        <s v="Change"/>
        <s v="Configuration"/>
        <s v="PQA"/>
        <s v="3PM"/>
        <m/>
      </sharedItems>
    </cacheField>
    <cacheField name="Finding" numFmtId="0">
      <sharedItems containsBlank="1"/>
    </cacheField>
    <cacheField name="% Current" numFmtId="0">
      <sharedItems containsBlank="1"/>
    </cacheField>
    <cacheField name="Impact" numFmtId="0">
      <sharedItems containsBlank="1"/>
    </cacheField>
    <cacheField name="Action" numFmtId="0">
      <sharedItems containsBlank="1"/>
    </cacheField>
    <cacheField name="Owner" numFmtId="0">
      <sharedItems containsBlank="1"/>
    </cacheField>
    <cacheField name="Timelin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y Dang Thi Hong (IPAS_DBA)" refreshedDate="45981.624032523148" createdVersion="6" refreshedVersion="6" minRefreshableVersion="3" recordCount="28" xr:uid="{CCBAD890-FFBB-4DA3-94A2-AEA26EB2698E}">
  <cacheSource type="worksheet">
    <worksheetSource ref="A3:G48" sheet="Quick Wins"/>
  </cacheSource>
  <cacheFields count="7">
    <cacheField name="#" numFmtId="0">
      <sharedItems containsString="0" containsBlank="1" containsNumber="1" containsInteger="1" minValue="1" maxValue="27"/>
    </cacheField>
    <cacheField name="Area" numFmtId="0">
      <sharedItems containsBlank="1" count="7">
        <s v="RM"/>
        <s v="Incident"/>
        <s v="Change"/>
        <s v="Configuration"/>
        <s v="PQA"/>
        <s v="3PM"/>
        <m/>
      </sharedItems>
    </cacheField>
    <cacheField name="Quick Win" numFmtId="0">
      <sharedItems containsBlank="1"/>
    </cacheField>
    <cacheField name="Effort" numFmtId="0">
      <sharedItems containsBlank="1"/>
    </cacheField>
    <cacheField name="Impact" numFmtId="0">
      <sharedItems containsBlank="1"/>
    </cacheField>
    <cacheField name="Success Criteria" numFmtId="0">
      <sharedItems containsBlank="1"/>
    </cacheField>
    <cacheField name="Timelin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m/>
  </r>
  <r>
    <s v="#"/>
  </r>
  <r>
    <n v="1"/>
  </r>
  <r>
    <n v="2"/>
  </r>
  <r>
    <n v="3"/>
  </r>
  <r>
    <n v="4"/>
  </r>
  <r>
    <n v="5"/>
  </r>
  <r>
    <n v="6"/>
  </r>
  <r>
    <n v="7"/>
  </r>
  <r>
    <n v="8"/>
  </r>
  <r>
    <n v="9"/>
  </r>
  <r>
    <n v="10"/>
  </r>
  <r>
    <n v="11"/>
  </r>
  <r>
    <n v="12"/>
  </r>
  <r>
    <n v="13"/>
  </r>
  <r>
    <n v="14"/>
  </r>
  <r>
    <n v="15"/>
  </r>
  <r>
    <n v="16"/>
  </r>
  <r>
    <n v="17"/>
  </r>
  <r>
    <n v="18"/>
  </r>
  <r>
    <n v="19"/>
  </r>
  <r>
    <n v="20"/>
  </r>
  <r>
    <n v="21"/>
  </r>
  <r>
    <n v="22"/>
  </r>
  <r>
    <n v="23"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1"/>
    <x v="0"/>
    <s v="Metrics not tracked (SLA %, cycle time)"/>
    <s v="CRITICAL"/>
    <s v="Cannot measure performance, justify resources"/>
    <s v="Setup dashboard tracking 5 key metrics"/>
    <m/>
    <m/>
  </r>
  <r>
    <n v="2"/>
    <x v="0"/>
    <s v="NO quality &amp; CSAT measurement"/>
    <s v="CRITICAL"/>
    <s v="Don't know if users happy or quality good"/>
    <s v="Create CSAT survey, quality metrics"/>
    <m/>
    <m/>
  </r>
  <r>
    <n v="3"/>
    <x v="0"/>
    <s v="Weak ITSM integration (all manual)"/>
    <s v="CRITICAL"/>
    <s v="Cannot do impact analysis, leverage data"/>
    <s v="Auto-link incidents/changes, CMDB update"/>
    <m/>
    <m/>
  </r>
  <r>
    <n v="4"/>
    <x v="0"/>
    <s v="NO formal service review"/>
    <s v="CRITICAL"/>
    <s v="Problems repeat, trends not identified"/>
    <s v="Setup monthly review with bottleneck analysis"/>
    <m/>
    <m/>
  </r>
  <r>
    <n v="5"/>
    <x v="0"/>
    <s v="Weak user engagement (25%)"/>
    <s v="HIGH"/>
    <s v="Users don't know SLA, no feedback channel"/>
    <s v="Communicate SLA clearly, setup feedback"/>
    <m/>
    <m/>
  </r>
  <r>
    <n v="6"/>
    <x v="0"/>
    <s v="NO business service mapping (25%)"/>
    <s v="HIGH"/>
    <s v="Cannot prioritize by business impact"/>
    <s v="Map requests to services, improve prioritization"/>
    <m/>
    <m/>
  </r>
  <r>
    <n v="7"/>
    <x v="1"/>
    <s v="Incident Manager role not defined"/>
    <s v="CRITICAL"/>
    <s v="No one owns IM quality"/>
    <s v="Define &amp; assign Incident Manager role + responsibilities"/>
    <m/>
    <m/>
  </r>
  <r>
    <n v="8"/>
    <x v="1"/>
    <s v="SLA not approved per severity (P1-P4)"/>
    <s v="CRITICAL"/>
    <s v="No resolution target → cannot measure performance"/>
    <s v="Define SLA per severity, get approval"/>
    <m/>
    <m/>
  </r>
  <r>
    <n v="9"/>
    <x v="1"/>
    <s v="Escalation path ad-hoc, not formal"/>
    <s v="CRITICAL"/>
    <s v="Incidents escalate slowly → delayed resolution"/>
    <s v="Create escalation matrix by severity/type"/>
    <m/>
    <m/>
  </r>
  <r>
    <n v="10"/>
    <x v="1"/>
    <s v="Workflow automation 0% - all manual"/>
    <s v="HIGH"/>
    <s v="Manual work = 80% admin time → slow response"/>
    <s v="Setup auto incident creation, auto-assign, priority"/>
    <m/>
    <m/>
  </r>
  <r>
    <n v="11"/>
    <x v="1"/>
    <s v="ITSM integration 0% (Problem/Change/CMDB)"/>
    <s v="CRITICAL"/>
    <s v="Cannot do impact analysis → wrong decisions"/>
    <s v="Integrate incidents with Problem/Change/CMDB"/>
    <m/>
    <m/>
  </r>
  <r>
    <n v="12"/>
    <x v="1"/>
    <s v="ITIL/ISO compliance 0%"/>
    <s v="HIGH"/>
    <s v="Not industry standard → audit risk"/>
    <s v="Implement ITIL IM practices, plan audit"/>
    <m/>
    <m/>
  </r>
  <r>
    <n v="13"/>
    <x v="2"/>
    <s v="Phân tích rủi ro chưa có thang đánh giá và phân loại"/>
    <s v="CRITICAL"/>
    <s v="Không phân loại mức rủi ro, không có escalation path, tất cả đều theo luồng chung nên có thể sẽ bị chậm do không có đánh giấu ưu tiên"/>
    <s v="- Tạo thang đánh giá rủi ro 1-5_x000a_- Xác định các tiêu chí thay đổi cao rủi ro_x000a_- Tạo đường dẫn escalation (escalation path)_x000a_- Ghi nhận thành tài liệu"/>
    <s v="Change Management,  CAB team, PQA"/>
    <m/>
  </r>
  <r>
    <n v="14"/>
    <x v="2"/>
    <s v="Chưa có quy định về lưu trữ và backup dữ liệu CR"/>
    <s v="CRITICAL"/>
    <s v="- Không biết thời gian lưu giữ dữ liệu RFC_x000a_- Không có Kế hoạch khôi phục khi xảy ra sự cố (DR)_x000a_- Mất khả năng truy vết lịch sử thay đổi (traceability)"/>
    <s v="- Định rõ chính sách lưu giữ (thời hạn lưu trữ, theo iTIL thì 1-3-5 năm tùy theo Tier, ISO 27001: 5 năm)_x000a_- Tạo quy trình sao lưu hàng tháng_x000a_- Test quy trình khôi phục (restore)"/>
    <s v="Change Management, Infra"/>
    <m/>
  </r>
  <r>
    <n v="15"/>
    <x v="2"/>
    <s v="Chưa triển khai Audit đối với hoạt động CM"/>
    <s v="CRITICAL"/>
    <s v="Không track được tuân thủ với chính sách, không đánh giá được các rủi ro vi phạm và có "/>
    <s v="- Lên lịch compliance audit_x000a_- Xác định phạm vi audit &amp; danh sách kiểm tra (checklist)_x000a_- Ghi lại các vi phạm &amp; Kế hoạch khắc phục"/>
    <s v="Change Management, PQA"/>
    <m/>
  </r>
  <r>
    <n v="16"/>
    <x v="2"/>
    <s v="CR template quá dài, nhiều thông tin chưa có cơ chế đánh giá, xác thực (ví dụ: Đánh giá ảnh hưởng, đánh giá rủi ro…)"/>
    <s v="HIGH"/>
    <s v="Khó khăn cho người tạo CR và review/phê duyệt CR"/>
    <s v="- Đơn giản hóa template theo loại CR_x000a_- Bổ sung đánh giá ảnh hưởng, đánh giá rủi ro_x000a_- Bổ sung KMS cho tra cứu các hướng dẫn liên quan CR, CM"/>
    <s v="Change Management, Development team, CAB, PQA"/>
    <m/>
  </r>
  <r>
    <n v="17"/>
    <x v="2"/>
    <s v="Communication Plan chưa có hướng dẫn cụ thể"/>
    <s v="HIGH"/>
    <s v="- Team giao tiếp ad-hoc (không có quy trình)_x000a_- Thông tin không nhất quán giữa các team_x000a_- Rủi ro ảnh hưởng đến uy tín do phối hợp truyền thông đến KH"/>
    <s v="- Xác định các nhóm đối tượng cần thông báo (stakeholder groups)_x000a_- Lên lịch thông báo: trước/trong/sau thay đổi (pre/during/post-change)_x000a_- Ghi nhận thành tài liệu"/>
    <s v="Change Management Team, Product team, PQA"/>
    <m/>
  </r>
  <r>
    <n v="18"/>
    <x v="2"/>
    <s v="CAB thiếu quy định tiêu chí đánh giá &amp; họp định kỳ"/>
    <s v="HIGH"/>
    <s v="- Thiếu tiêu chí đánh giá ổn định có thể dẫn tới quyết định của CAB không nhất quán_x000a_- Không có tracking định kỳ"/>
    <s v="- Xác định tiêu chí đánh giá chính_x000a_- Xác định lịch họp CAB định kỳ_x000a_- Ghi nhận decision log"/>
    <s v="Change Management Team, CAB"/>
    <m/>
  </r>
  <r>
    <n v="19"/>
    <x v="2"/>
    <s v="RACI chưa có tài liệu chính thức"/>
    <s v="HIGH"/>
    <s v="- Không rõ trách nhiệm và quyền hạn, có thể gây xung đột trong quyết định CM_x000a_- Khó Audit"/>
    <s v="- Ban hành bổ sung RACI_x000a_- Có cơ chế cập nhật khi phát sinh thay đổi"/>
    <s v="Change Management Team, PQA"/>
    <m/>
  </r>
  <r>
    <n v="20"/>
    <x v="2"/>
    <s v="Change Failure Request (CFR) Root Causes chưa có phân tích chiến lược"/>
    <s v="HIGH"/>
    <s v="Không hiểu nguyên nhân gốc của các request Fail sẽ khó improve"/>
    <s v="Phân tích top 3 nguyên nhân gốc của các CFR để có kế hoạch cải thiện"/>
    <s v="Change Management Team, Development team, PQA"/>
    <m/>
  </r>
  <r>
    <n v="21"/>
    <x v="2"/>
    <s v="Incident-Change Linkage thực hiện manual"/>
    <s v="HIGH"/>
    <s v="_x0009_- Incident investigation cần truy vết thủ công_x000a_- Effort cao, thời gian xử lý (TAT) chậm"/>
    <s v="_x0009_- Xây dựng query tự động hóa liên kết incident-change_x000a_- Tích hợp API_x000a_- Test tự động hóa &amp; đào tạo team"/>
    <s v="Change Management Team, Incident Management Team, Development team, PQA"/>
    <m/>
  </r>
  <r>
    <n v="22"/>
    <x v="2"/>
    <s v="CMDB Integration chưa thiết lập"/>
    <s v="HIGH"/>
    <s v="_x0009_- Không biết thay đổi ảnh hưởng những cấu hình nào _x000a_- Không track dependencies giữa các CIs_x000a_- Khó phân tích nguyên nhân gốc (root cause analysis)"/>
    <s v="- Xác định các CIs chính yếu (core CIs)_x000a_- Ánh xạ Change Request với CIs_x000a_- Tích hợp CMDB với Jira_x000a_- Tự động cập nhật khi deployment"/>
    <s v="Change Management Team, Development team, Infra"/>
    <m/>
  </r>
  <r>
    <n v="23"/>
    <x v="2"/>
    <s v="Sonar đang tạm dừng hoạt động"/>
    <s v="HIGH"/>
    <s v="Quality control yếu"/>
    <s v="- Restart lại Sonar"/>
    <s v="Trao đổi thêm với Devops"/>
    <m/>
  </r>
  <r>
    <n v="24"/>
    <x v="2"/>
    <s v="PIR chưa kết nối CI/CD, kiểm tra manual"/>
    <s v="MEDIUM"/>
    <s v="- Không biết PIR có match với deployment thực tế Không_x000a_- Không track Tự động success metrics"/>
    <s v="- Tự động hóa kết nối giữa Jira &amp; deployment tools_x000a_- Tạo PIR success metrics_x000a_- Tự động kích hoạt PIR khi deploy"/>
    <s v="Change Management Team, DevOps Team, VHUD"/>
    <m/>
  </r>
  <r>
    <n v="25"/>
    <x v="2"/>
    <s v="Maintenance Window chưa có quy định criticality-based"/>
    <s v="MEDIUM"/>
    <s v="- Truyền Thông Không đồng nhất_x000a_- Khách hàng Không biết lịch maintenance"/>
    <s v="_x0009_- Định rõ chính sách maintenance window theo criticality (P1/P2/P3)_x000a_- Tạo template thông báo_x000a_- Cập nhật SLA"/>
    <s v="Change Management Team, DevOps Team, VHUD"/>
    <m/>
  </r>
  <r>
    <n v="26"/>
    <x v="2"/>
    <s v="Change Freeze Periods chưa có quy định cụ thể"/>
    <s v="MEDIUM"/>
    <s v="Ảnh hưởng Sprint Planning"/>
    <s v="- Tạo chính sách freeze period_x000a_- Thông báo 30 ngày trước (advance notification)_x000a_- Truyền thông lịch hàng quý_x000a_- Tích hợp vào sprint planning"/>
    <s v="Change Management Team, Development Team"/>
    <m/>
  </r>
  <r>
    <n v="27"/>
    <x v="2"/>
    <s v="Dashboard chưa tự động lấy dữ liệu theo thời gian chọn"/>
    <s v="MEDIUM"/>
    <s v="- Lãnh đạo Không có data real-time để quyết định_x000a_- Tracking SLA Không chính Xác"/>
    <s v="- Xây dựng tự động hóa dashboard (API/query)_x000a_- Thêm date picker để chọn khoảng thời gian_x000a_- Xuất bản hàng tuần/tháng_x000a_- Setup real-time alerts"/>
    <s v="Change Management Team, BI team?"/>
    <m/>
  </r>
  <r>
    <n v="28"/>
    <x v="2"/>
    <s v="Batch Approval cho nhóm change liên quan chưa có"/>
    <s v="MEDIUM"/>
    <s v="- Approval process Không tối ưu"/>
    <s v="- Ánh xạ services với hệ thống hiện tại_x000a_- Nhóm changes theo service_x000a_- cập nhật batch Approval workflow_x000a_- Test quy trình"/>
    <s v="Change Management Team, Service Owner, Infra, Development Team"/>
    <m/>
  </r>
  <r>
    <n v="29"/>
    <x v="2"/>
    <s v="Feedback &amp; Improvement chưa có backlog cụ thể"/>
    <s v="MEDIUM"/>
    <s v="Chưa có roadmap cho cải thiện nên chưa có hiệu quả"/>
    <s v="_x0009_- Tạo template improvement backlog_x000a_- Review hàng tháng với team_x000a_- Ưu tiên theo tác động (impact) &amp; nỗ lực (effort)_x000a_- Theo dõi hoàn thành"/>
    <s v="Change Management Team, ITSM lead"/>
    <m/>
  </r>
  <r>
    <n v="30"/>
    <x v="2"/>
    <s v="Training CM chưa đặc thù &amp; chuyên sâu"/>
    <s v="MEDIUM"/>
    <s v="Chưa có training cho CM, chủ yếu tự học"/>
    <s v="- Thiết kế training CM chuyên sâu (ITIL 4 Practice)"/>
    <s v="Change Management Team, ITSM lead, L&amp;D, HR"/>
    <m/>
  </r>
  <r>
    <n v="31"/>
    <x v="2"/>
    <s v="Chứng chỉ &amp; yêu cầu năng lực CM chưa định rõ"/>
    <s v="MEDIUM"/>
    <s v="- Không có Kế hoạch tuyển dụng_x000a_- rủi ro Mất nhân tài, năng lực Không scale"/>
    <s v="Xây dựng 4P next gen cho CM"/>
    <s v="ITSM lead, HR"/>
    <m/>
  </r>
  <r>
    <n v="32"/>
    <x v="3"/>
    <s v="Chính sách CMDB chưa formal"/>
    <s v="CRITICAL"/>
    <s v="Không rõ scope, CI types, roles → quản lý không nhất quán"/>
    <s v="Tạo CMDB Policy Charter document"/>
    <m/>
    <m/>
  </r>
  <r>
    <n v="33"/>
    <x v="3"/>
    <s v="Không có tool CMDB - sử dụng Excel"/>
    <s v="CRITICAL"/>
    <s v="Không thể tự động, không relationship mapping, không integration"/>
    <s v="Đánh giá &amp; select CMDB tool (ServiceNow/Remedy)"/>
    <m/>
    <m/>
  </r>
  <r>
    <n v="34"/>
    <x v="3"/>
    <s v="Chưa map CI relationships &amp; service dependencies"/>
    <s v="HIGH"/>
    <s v="Không biết service nào phụ thuộc CI nào → không tính impact được"/>
    <s v="Map service-to-CI cho top 10 services"/>
    <m/>
    <m/>
  </r>
  <r>
    <n v="35"/>
    <x v="3"/>
    <s v="Không có audit trail &amp; audit process"/>
    <s v="HIGH"/>
    <s v="Không track thay đổi (ai, khi nào) → rủi ro compliance"/>
    <s v="Setup audit logging, monthly audits"/>
    <m/>
    <m/>
  </r>
  <r>
    <n v="36"/>
    <x v="3"/>
    <s v="CI Owners không được gán rõ ràng"/>
    <s v="HIGH"/>
    <s v="Không ai chịu trách nhiệm keep data accurate → dữ liệu lỗi thời"/>
    <s v="Gán CI Owner cho mỗi hệ thống"/>
    <m/>
    <m/>
  </r>
  <r>
    <n v="37"/>
    <x v="3"/>
    <s v="Không có CMDB Steward role &amp; governance"/>
    <s v="HIGH"/>
    <s v="Không ai quản lý tổng thể CMDB, conflicts không resolve"/>
    <s v="Assign CMDB Steward"/>
    <m/>
    <m/>
  </r>
  <r>
    <n v="38"/>
    <x v="3"/>
    <s v="CMDB không integrate Incident &amp; Change"/>
    <s v="HIGH"/>
    <s v="Incident/Change workflows không dùng CMDB data → không update"/>
    <s v="Integrate CMDB with tools"/>
    <m/>
    <m/>
  </r>
  <r>
    <n v="39"/>
    <x v="3"/>
    <s v="Không có data quality standards"/>
    <s v="HIGH"/>
    <s v="Duplicate CIs, inconsistent data → không tin tưởng CMDB"/>
    <s v="Define quality standards, validation"/>
    <m/>
    <m/>
  </r>
  <r>
    <n v="40"/>
    <x v="3"/>
    <s v="Không có auto-population từ monitoring tools"/>
    <s v="MEDIUM"/>
    <s v="Manual data entry → thời gian lãng phí, data lag"/>
    <s v="Setup data feeds từ monitoring tools"/>
    <m/>
    <m/>
  </r>
  <r>
    <n v="41"/>
    <x v="3"/>
    <s v="CMDB team part-time, không training"/>
    <s v="MEDIUM"/>
    <s v="CMDB không ưu tiên, team burnout, knowledge loss"/>
    <s v="Assign dedicated CMDB Admin, provide training"/>
    <m/>
    <m/>
  </r>
  <r>
    <n v="42"/>
    <x v="3"/>
    <s v="Không có KPI đo CMDB effectiveness"/>
    <s v="MEDIUM"/>
    <s v="Không biết coverage, quality → không justify investment"/>
    <s v="Define metrics, create dashboard"/>
    <m/>
    <m/>
  </r>
  <r>
    <n v="43"/>
    <x v="4"/>
    <s v="NO audit checklists (IM, CM, PM)"/>
    <s v="CRITICAL"/>
    <s v="Audits ad-hoc, inconsistent"/>
    <s v="Create standardized checklists"/>
    <m/>
    <m/>
  </r>
  <r>
    <n v="44"/>
    <x v="4"/>
    <s v="Audit frequency yearly only"/>
    <s v="CRITICAL"/>
    <s v="Cannot identify trends"/>
    <s v="Plan quarterly audits"/>
    <m/>
    <m/>
  </r>
  <r>
    <n v="45"/>
    <x v="4"/>
    <s v="Coverage only 3% (1/30 processes)"/>
    <s v="CRITICAL"/>
    <s v="Most processes never audited"/>
    <s v="Create 3-year plan for 80% coverage"/>
    <m/>
    <m/>
  </r>
  <r>
    <n v="46"/>
    <x v="4"/>
    <s v="Metrics almost ZERO (10%)"/>
    <s v="CRITICAL"/>
    <s v="Cannot measure PQA effectiveness"/>
    <s v="Define &amp; track 5 key metrics"/>
    <m/>
    <m/>
  </r>
  <r>
    <n v="47"/>
    <x v="4"/>
    <s v="NO escalation for critical findings"/>
    <s v="CRITICAL"/>
    <s v="Critical issues ignored"/>
    <s v="Define escalation procedure"/>
    <m/>
    <m/>
  </r>
  <r>
    <n v="48"/>
    <x v="4"/>
    <s v="NO maturity assessment"/>
    <s v="MEDIUM"/>
    <s v="Cannot prioritize improvements"/>
    <s v="Use maturity framework (ITIL)"/>
    <m/>
    <m/>
  </r>
  <r>
    <n v="49"/>
    <x v="5"/>
    <s v="NO formal 3PM Policy"/>
    <s v="CRITICAL"/>
    <s v="Write formal policy, CIO approve"/>
    <m/>
    <m/>
    <m/>
  </r>
  <r>
    <n v="50"/>
    <x v="5"/>
    <s v="NO Vendor Classification"/>
    <s v="CRITICAL"/>
    <s v="Create critical/high/medium/low matrix"/>
    <m/>
    <m/>
    <m/>
  </r>
  <r>
    <n v="51"/>
    <x v="5"/>
    <s v="NO SLA Monitoring"/>
    <s v="CRITICAL"/>
    <s v="Setup SLA dashboard, weekly reports"/>
    <m/>
    <m/>
    <m/>
  </r>
  <r>
    <n v="52"/>
    <x v="5"/>
    <s v="NO Vendor Metrics"/>
    <s v="CRITICAL"/>
    <s v="Define &amp; track 5-7 KPIs per vendor"/>
    <m/>
    <m/>
    <m/>
  </r>
  <r>
    <n v="53"/>
    <x v="5"/>
    <s v="NO Risk Assessment"/>
    <s v="HIGH"/>
    <s v="Define risk assessment framework"/>
    <m/>
    <m/>
    <m/>
  </r>
  <r>
    <n v="54"/>
    <x v="5"/>
    <s v="NO Roles &amp; Authority"/>
    <s v="HIGH"/>
    <s v="Document vendor manager roles"/>
    <m/>
    <m/>
    <m/>
  </r>
  <r>
    <m/>
    <x v="6"/>
    <m/>
    <m/>
    <m/>
    <m/>
    <m/>
    <m/>
  </r>
  <r>
    <m/>
    <x v="6"/>
    <m/>
    <m/>
    <m/>
    <m/>
    <m/>
    <m/>
  </r>
  <r>
    <m/>
    <x v="6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x v="0"/>
    <s v="Metrics &amp; SLA Dashboard"/>
    <m/>
    <s v="High"/>
    <m/>
    <m/>
  </r>
  <r>
    <n v="2"/>
    <x v="0"/>
    <s v="Quality Verification Checklist trước delivery"/>
    <m/>
    <s v="High"/>
    <m/>
    <m/>
  </r>
  <r>
    <n v="3"/>
    <x v="0"/>
    <s v="Monthly RM Service Reviews (bottleneck ID)"/>
    <m/>
    <s v="Medium"/>
    <m/>
    <m/>
  </r>
  <r>
    <n v="4"/>
    <x v="0"/>
    <s v="User SLA Communication"/>
    <m/>
    <s v="Medium"/>
    <m/>
    <m/>
  </r>
  <r>
    <n v="5"/>
    <x v="1"/>
    <s v="Define Incident Manager &amp; SLA"/>
    <s v="Low (1-2d)"/>
    <s v="High - Critical path"/>
    <s v="Role assigned, SLA approved"/>
    <m/>
  </r>
  <r>
    <n v="6"/>
    <x v="1"/>
    <s v="Create Escalation Matrix"/>
    <s v="Low (2-3d)"/>
    <s v="High - Better response"/>
    <s v="Matrix documented &amp; trained"/>
    <m/>
  </r>
  <r>
    <n v="7"/>
    <x v="1"/>
    <s v="Update IM Policy"/>
    <s v="Low (2-3d)"/>
    <s v="High - Foundation"/>
    <s v="Policy updated &amp; communicated"/>
    <m/>
  </r>
  <r>
    <n v="8"/>
    <x v="1"/>
    <s v="Define Review Frequency"/>
    <s v="Low (1d)"/>
    <s v="Medium - Consistency"/>
    <s v="Calendar active, team aware"/>
    <m/>
  </r>
  <r>
    <n v="9"/>
    <x v="1"/>
    <s v="Add Data Quality &amp; KB"/>
    <s v="Medium (3-5d)"/>
    <s v="Medium - Data trust"/>
    <s v="Quality checks active, FAQ ready"/>
    <m/>
  </r>
  <r>
    <n v="10"/>
    <x v="2"/>
    <s v="Backlog và roadmap cho improvement mảng CM"/>
    <m/>
    <m/>
    <m/>
    <m/>
  </r>
  <r>
    <n v="11"/>
    <x v="2"/>
    <s v="Change freeze periods documentation"/>
    <m/>
    <m/>
    <m/>
    <m/>
  </r>
  <r>
    <n v="12"/>
    <x v="2"/>
    <s v=" Đơn giản hóa template theo loại CR và bổ sung KMS"/>
    <m/>
    <m/>
    <m/>
    <m/>
  </r>
  <r>
    <n v="13"/>
    <x v="2"/>
    <s v="- Xác định các nhóm đối tượng cần thông báo (stakeholder groups)_x000a_- Lên lịch thông báo: trước/trong/sau thay đổi (pre/during/post-change)_x000a_- Ghi nhận thành tài liệu"/>
    <m/>
    <m/>
    <m/>
    <m/>
  </r>
  <r>
    <n v="14"/>
    <x v="2"/>
    <s v="Xác định phạm vi audit &amp; danh sách kiểm tra (checklist)"/>
    <m/>
    <m/>
    <m/>
    <m/>
  </r>
  <r>
    <n v="15"/>
    <x v="3"/>
    <s v="CMDB Policy Charter Document"/>
    <m/>
    <m/>
    <m/>
    <m/>
  </r>
  <r>
    <n v="16"/>
    <x v="3"/>
    <s v="CI Owner Assignment &amp; CMDB Steward"/>
    <m/>
    <m/>
    <m/>
    <m/>
  </r>
  <r>
    <n v="17"/>
    <x v="3"/>
    <s v="CI Classification &amp; Naming Convention"/>
    <m/>
    <m/>
    <m/>
    <m/>
  </r>
  <r>
    <n v="18"/>
    <x v="3"/>
    <s v="Improve Excel CMDB Search"/>
    <m/>
    <m/>
    <m/>
    <m/>
  </r>
  <r>
    <n v="19"/>
    <x v="4"/>
    <s v="Audit Checklists (3-5 types)"/>
    <m/>
    <m/>
    <m/>
    <m/>
  </r>
  <r>
    <n v="20"/>
    <x v="4"/>
    <s v="Quarterly Audit Schedule"/>
    <m/>
    <m/>
    <m/>
    <m/>
  </r>
  <r>
    <n v="21"/>
    <x v="4"/>
    <s v="PQA Metrics Dashboard"/>
    <m/>
    <m/>
    <m/>
    <m/>
  </r>
  <r>
    <n v="22"/>
    <x v="4"/>
    <s v="Escalation Procedure"/>
    <m/>
    <m/>
    <m/>
    <m/>
  </r>
  <r>
    <n v="23"/>
    <x v="4"/>
    <s v="Hire QA Resource (0.5 FTE)"/>
    <m/>
    <m/>
    <m/>
    <m/>
  </r>
  <r>
    <n v="24"/>
    <x v="5"/>
    <s v="Formal 3PM Policy"/>
    <m/>
    <m/>
    <m/>
    <m/>
  </r>
  <r>
    <n v="25"/>
    <x v="5"/>
    <s v="Vendor Classification"/>
    <m/>
    <m/>
    <m/>
    <m/>
  </r>
  <r>
    <n v="26"/>
    <x v="5"/>
    <s v="Vendor Manager Roles"/>
    <m/>
    <m/>
    <m/>
    <m/>
  </r>
  <r>
    <n v="27"/>
    <x v="5"/>
    <s v="SLA Dashboard"/>
    <m/>
    <m/>
    <m/>
    <m/>
  </r>
  <r>
    <m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0B288-864A-4511-AEEF-6D7CA4CD94B8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B22" firstHeaderRow="1" firstDataRow="1" firstDataCol="1"/>
  <pivotFields count="7">
    <pivotField showAll="0"/>
    <pivotField axis="axisRow" showAll="0" sortType="descending">
      <items count="8">
        <item x="5"/>
        <item x="2"/>
        <item x="3"/>
        <item x="1"/>
        <item x="4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4"/>
    </i>
    <i>
      <x v="3"/>
    </i>
    <i>
      <x/>
    </i>
    <i>
      <x v="5"/>
    </i>
    <i>
      <x v="2"/>
    </i>
    <i>
      <x v="6"/>
    </i>
    <i t="grand">
      <x/>
    </i>
  </rowItems>
  <colItems count="1">
    <i/>
  </colItems>
  <dataFields count="1">
    <dataField name="Count of Quick Wi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01F41-987F-43A5-9DB7-D29CD72EADA3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G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222AA-CFE2-40F3-BD40-F3596E051ED8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8">
    <pivotField showAll="0"/>
    <pivotField axis="axisRow" showAll="0" sortType="descending">
      <items count="8">
        <item x="5"/>
        <item x="2"/>
        <item x="3"/>
        <item x="1"/>
        <item x="4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5"/>
    </i>
    <i>
      <x v="4"/>
    </i>
    <i>
      <x/>
    </i>
    <i>
      <x v="3"/>
    </i>
    <i>
      <x v="6"/>
    </i>
    <i t="grand">
      <x/>
    </i>
  </rowItems>
  <colItems count="1">
    <i/>
  </colItems>
  <dataFields count="1">
    <dataField name="Count of Findin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opLeftCell="A6" workbookViewId="0">
      <selection activeCell="G32" sqref="G32"/>
    </sheetView>
  </sheetViews>
  <sheetFormatPr defaultRowHeight="14.5" x14ac:dyDescent="0.35"/>
  <cols>
    <col min="1" max="1" width="25" customWidth="1"/>
    <col min="2" max="2" width="30" customWidth="1"/>
    <col min="3" max="4" width="20" customWidth="1"/>
  </cols>
  <sheetData>
    <row r="1" spans="1:4" x14ac:dyDescent="0.35">
      <c r="A1" s="78" t="s">
        <v>140</v>
      </c>
      <c r="B1" s="74"/>
      <c r="C1" s="74"/>
      <c r="D1" s="74"/>
    </row>
    <row r="3" spans="1:4" x14ac:dyDescent="0.35">
      <c r="A3" t="s">
        <v>0</v>
      </c>
      <c r="B3" t="s">
        <v>141</v>
      </c>
    </row>
    <row r="4" spans="1:4" x14ac:dyDescent="0.35">
      <c r="A4" t="s">
        <v>142</v>
      </c>
      <c r="B4" t="s">
        <v>143</v>
      </c>
    </row>
    <row r="5" spans="1:4" x14ac:dyDescent="0.35">
      <c r="A5" t="s">
        <v>1</v>
      </c>
      <c r="B5" t="s">
        <v>169</v>
      </c>
    </row>
    <row r="6" spans="1:4" x14ac:dyDescent="0.35">
      <c r="A6" t="s">
        <v>2</v>
      </c>
      <c r="B6" t="s">
        <v>3</v>
      </c>
    </row>
    <row r="9" spans="1:4" ht="15.5" x14ac:dyDescent="0.35">
      <c r="A9" s="1" t="s">
        <v>4</v>
      </c>
    </row>
    <row r="10" spans="1:4" x14ac:dyDescent="0.35">
      <c r="A10" t="s">
        <v>5</v>
      </c>
      <c r="B10" s="25">
        <f>'Maturity by Area'!C14</f>
        <v>1.45</v>
      </c>
      <c r="C10" t="s">
        <v>6</v>
      </c>
      <c r="D10" t="s">
        <v>7</v>
      </c>
    </row>
    <row r="11" spans="1:4" x14ac:dyDescent="0.35">
      <c r="A11" t="s">
        <v>8</v>
      </c>
      <c r="B11" s="26">
        <f>'Maturity by Area'!F14</f>
        <v>2.1666666666666665</v>
      </c>
      <c r="C11" t="s">
        <v>6</v>
      </c>
      <c r="D11" t="s">
        <v>9</v>
      </c>
    </row>
    <row r="12" spans="1:4" x14ac:dyDescent="0.35">
      <c r="A12" t="s">
        <v>10</v>
      </c>
      <c r="B12" s="27">
        <f>B11-B10</f>
        <v>0.71666666666666656</v>
      </c>
    </row>
    <row r="15" spans="1:4" x14ac:dyDescent="0.35">
      <c r="A15" s="73" t="s">
        <v>11</v>
      </c>
      <c r="B15" s="74"/>
      <c r="C15" s="74"/>
      <c r="D15" s="74"/>
    </row>
    <row r="16" spans="1:4" x14ac:dyDescent="0.35">
      <c r="A16" s="76"/>
      <c r="B16" s="74"/>
      <c r="C16" s="74"/>
      <c r="D16" s="74"/>
    </row>
    <row r="17" spans="1:4" x14ac:dyDescent="0.35">
      <c r="A17" s="76"/>
      <c r="B17" s="74"/>
      <c r="C17" s="74"/>
      <c r="D17" s="74"/>
    </row>
    <row r="18" spans="1:4" x14ac:dyDescent="0.35">
      <c r="A18" s="76"/>
      <c r="B18" s="74"/>
      <c r="C18" s="74"/>
      <c r="D18" s="74"/>
    </row>
    <row r="19" spans="1:4" x14ac:dyDescent="0.35">
      <c r="A19" s="77"/>
      <c r="B19" s="74"/>
      <c r="C19" s="74"/>
      <c r="D19" s="74"/>
    </row>
    <row r="20" spans="1:4" x14ac:dyDescent="0.35">
      <c r="A20" s="77"/>
      <c r="B20" s="74"/>
      <c r="C20" s="74"/>
      <c r="D20" s="74"/>
    </row>
    <row r="26" spans="1:4" x14ac:dyDescent="0.35">
      <c r="A26" s="73" t="s">
        <v>12</v>
      </c>
      <c r="B26" s="74"/>
      <c r="C26" s="74"/>
      <c r="D26" s="74"/>
    </row>
    <row r="27" spans="1:4" x14ac:dyDescent="0.35">
      <c r="A27" s="75"/>
      <c r="B27" s="74"/>
      <c r="C27" s="74"/>
      <c r="D27" s="74"/>
    </row>
    <row r="28" spans="1:4" x14ac:dyDescent="0.35">
      <c r="A28" s="75"/>
      <c r="B28" s="74"/>
      <c r="C28" s="74"/>
      <c r="D28" s="74"/>
    </row>
    <row r="29" spans="1:4" x14ac:dyDescent="0.35">
      <c r="A29" s="75"/>
      <c r="B29" s="74"/>
      <c r="C29" s="74"/>
      <c r="D29" s="74"/>
    </row>
    <row r="30" spans="1:4" x14ac:dyDescent="0.35">
      <c r="A30" s="75"/>
      <c r="B30" s="74"/>
      <c r="C30" s="74"/>
      <c r="D30" s="74"/>
    </row>
    <row r="33" spans="1:4" x14ac:dyDescent="0.35">
      <c r="A33" s="73" t="s">
        <v>13</v>
      </c>
      <c r="B33" s="74"/>
      <c r="C33" s="74"/>
      <c r="D33" s="74"/>
    </row>
    <row r="34" spans="1:4" x14ac:dyDescent="0.35">
      <c r="A34" s="4" t="s">
        <v>14</v>
      </c>
      <c r="B34" s="4" t="s">
        <v>15</v>
      </c>
      <c r="C34" s="4" t="s">
        <v>16</v>
      </c>
    </row>
    <row r="35" spans="1:4" x14ac:dyDescent="0.35">
      <c r="A35" s="5"/>
      <c r="B35" s="5"/>
      <c r="C35" s="5"/>
    </row>
    <row r="36" spans="1:4" x14ac:dyDescent="0.35">
      <c r="A36" s="5"/>
      <c r="B36" s="5"/>
      <c r="C36" s="5"/>
    </row>
    <row r="37" spans="1:4" x14ac:dyDescent="0.35">
      <c r="A37" s="5"/>
      <c r="B37" s="5"/>
      <c r="C37" s="5"/>
    </row>
    <row r="38" spans="1:4" x14ac:dyDescent="0.35">
      <c r="A38" s="5"/>
      <c r="B38" s="5"/>
      <c r="C38" s="5"/>
    </row>
    <row r="39" spans="1:4" x14ac:dyDescent="0.35">
      <c r="A39" s="5"/>
      <c r="B39" s="5"/>
      <c r="C39" s="5"/>
    </row>
    <row r="40" spans="1:4" x14ac:dyDescent="0.35">
      <c r="A40" s="5"/>
      <c r="B40" s="5"/>
      <c r="C40" s="5"/>
    </row>
  </sheetData>
  <mergeCells count="13">
    <mergeCell ref="A1:D1"/>
    <mergeCell ref="A17:D17"/>
    <mergeCell ref="A18:D18"/>
    <mergeCell ref="A27:D27"/>
    <mergeCell ref="A20:D20"/>
    <mergeCell ref="A26:D26"/>
    <mergeCell ref="A33:D33"/>
    <mergeCell ref="A28:D28"/>
    <mergeCell ref="A30:D30"/>
    <mergeCell ref="A15:D15"/>
    <mergeCell ref="A29:D29"/>
    <mergeCell ref="A16:D16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F17" sqref="F17"/>
    </sheetView>
  </sheetViews>
  <sheetFormatPr defaultRowHeight="14.5" x14ac:dyDescent="0.35"/>
  <cols>
    <col min="1" max="1" width="25" customWidth="1"/>
    <col min="2" max="2" width="25" style="19" customWidth="1"/>
    <col min="3" max="3" width="15" customWidth="1"/>
    <col min="4" max="5" width="15" style="19" customWidth="1"/>
    <col min="6" max="7" width="15" customWidth="1"/>
    <col min="8" max="8" width="20" customWidth="1"/>
  </cols>
  <sheetData>
    <row r="1" spans="1:8" ht="17" x14ac:dyDescent="0.4">
      <c r="A1" s="79" t="s">
        <v>17</v>
      </c>
      <c r="B1" s="79"/>
      <c r="C1" s="74"/>
      <c r="D1" s="74"/>
      <c r="E1" s="74"/>
      <c r="F1" s="74"/>
      <c r="G1" s="74"/>
      <c r="H1" s="74"/>
    </row>
    <row r="3" spans="1:8" ht="15.5" x14ac:dyDescent="0.35">
      <c r="A3" s="80" t="s">
        <v>18</v>
      </c>
      <c r="B3" s="80" t="s">
        <v>19</v>
      </c>
      <c r="C3" s="80"/>
      <c r="D3" s="80"/>
      <c r="E3" s="80" t="s">
        <v>257</v>
      </c>
      <c r="F3" s="80"/>
      <c r="G3" s="80"/>
      <c r="H3" s="80" t="s">
        <v>217</v>
      </c>
    </row>
    <row r="4" spans="1:8" s="19" customFormat="1" ht="15.5" x14ac:dyDescent="0.35">
      <c r="A4" s="80"/>
      <c r="B4" s="6" t="s">
        <v>168</v>
      </c>
      <c r="C4" s="6" t="s">
        <v>21</v>
      </c>
      <c r="D4" s="6"/>
      <c r="E4" s="6" t="s">
        <v>168</v>
      </c>
      <c r="F4" s="6" t="s">
        <v>21</v>
      </c>
      <c r="G4" s="6" t="s">
        <v>20</v>
      </c>
      <c r="H4" s="80"/>
    </row>
    <row r="5" spans="1:8" x14ac:dyDescent="0.35">
      <c r="A5" s="7" t="s">
        <v>27</v>
      </c>
      <c r="B5" s="29">
        <v>0.58450000000000002</v>
      </c>
      <c r="C5" s="8">
        <v>2.2000000000000002</v>
      </c>
      <c r="D5" s="8" t="s">
        <v>23</v>
      </c>
      <c r="E5" s="8" t="s">
        <v>255</v>
      </c>
      <c r="F5" s="8">
        <v>3</v>
      </c>
      <c r="G5" s="30" t="s">
        <v>256</v>
      </c>
      <c r="H5" s="9" t="s">
        <v>26</v>
      </c>
    </row>
    <row r="6" spans="1:8" ht="29" x14ac:dyDescent="0.35">
      <c r="A6" s="7" t="s">
        <v>177</v>
      </c>
      <c r="B6" s="29">
        <v>0.51100000000000001</v>
      </c>
      <c r="C6" s="8">
        <v>2</v>
      </c>
      <c r="D6" s="8" t="s">
        <v>23</v>
      </c>
      <c r="E6" s="8" t="s">
        <v>176</v>
      </c>
      <c r="F6" s="8">
        <v>3</v>
      </c>
      <c r="G6" s="30" t="s">
        <v>214</v>
      </c>
      <c r="H6" s="8" t="s">
        <v>24</v>
      </c>
    </row>
    <row r="7" spans="1:8" x14ac:dyDescent="0.35">
      <c r="A7" s="7" t="s">
        <v>25</v>
      </c>
      <c r="B7" s="29">
        <v>0.443</v>
      </c>
      <c r="C7" s="8">
        <v>1.5</v>
      </c>
      <c r="D7" s="8" t="s">
        <v>172</v>
      </c>
      <c r="E7" s="8" t="s">
        <v>215</v>
      </c>
      <c r="F7" s="8">
        <v>2</v>
      </c>
      <c r="G7" s="30" t="s">
        <v>216</v>
      </c>
      <c r="H7" s="9" t="s">
        <v>26</v>
      </c>
    </row>
    <row r="8" spans="1:8" s="14" customFormat="1" x14ac:dyDescent="0.35">
      <c r="A8" s="7" t="s">
        <v>144</v>
      </c>
      <c r="B8" s="47">
        <v>0.39</v>
      </c>
      <c r="C8" s="8">
        <v>1.5</v>
      </c>
      <c r="D8" s="8" t="s">
        <v>28</v>
      </c>
      <c r="E8" s="8" t="s">
        <v>215</v>
      </c>
      <c r="F8" s="8">
        <v>2</v>
      </c>
      <c r="G8" s="30" t="s">
        <v>175</v>
      </c>
      <c r="H8" s="10" t="s">
        <v>29</v>
      </c>
    </row>
    <row r="9" spans="1:8" x14ac:dyDescent="0.35">
      <c r="A9" s="7" t="s">
        <v>170</v>
      </c>
      <c r="B9" s="29">
        <v>0.20799999999999999</v>
      </c>
      <c r="C9" s="8">
        <v>1</v>
      </c>
      <c r="D9" s="8" t="s">
        <v>28</v>
      </c>
      <c r="E9" s="8" t="s">
        <v>258</v>
      </c>
      <c r="F9" s="8">
        <v>2</v>
      </c>
      <c r="G9" s="30" t="s">
        <v>407</v>
      </c>
      <c r="H9" s="9" t="s">
        <v>26</v>
      </c>
    </row>
    <row r="10" spans="1:8" ht="29" x14ac:dyDescent="0.35">
      <c r="A10" s="7" t="s">
        <v>171</v>
      </c>
      <c r="B10" s="46">
        <v>8.8999999999999996E-2</v>
      </c>
      <c r="C10" s="8">
        <v>1</v>
      </c>
      <c r="D10" s="8" t="s">
        <v>28</v>
      </c>
      <c r="E10" s="8" t="s">
        <v>258</v>
      </c>
      <c r="F10" s="8">
        <v>2</v>
      </c>
      <c r="G10" s="30" t="s">
        <v>259</v>
      </c>
      <c r="H10" s="10" t="s">
        <v>29</v>
      </c>
    </row>
    <row r="11" spans="1:8" x14ac:dyDescent="0.35">
      <c r="A11" s="23" t="s">
        <v>30</v>
      </c>
      <c r="B11" s="24"/>
      <c r="C11" s="24"/>
      <c r="D11" s="24"/>
      <c r="E11" s="24"/>
      <c r="F11" s="24"/>
      <c r="G11" s="30"/>
      <c r="H11" s="24"/>
    </row>
    <row r="12" spans="1:8" x14ac:dyDescent="0.35">
      <c r="A12" s="23" t="s">
        <v>145</v>
      </c>
      <c r="B12" s="72"/>
      <c r="C12" s="24">
        <v>1.7</v>
      </c>
      <c r="D12" s="8" t="s">
        <v>23</v>
      </c>
      <c r="E12" s="24"/>
      <c r="F12" s="24">
        <v>2</v>
      </c>
      <c r="G12" s="30"/>
      <c r="H12" s="24"/>
    </row>
    <row r="13" spans="1:8" x14ac:dyDescent="0.35">
      <c r="A13" s="5"/>
      <c r="B13" s="30"/>
      <c r="C13" s="5"/>
      <c r="D13" s="5"/>
      <c r="E13" s="5"/>
      <c r="F13" s="5"/>
      <c r="G13" s="30"/>
      <c r="H13" s="5"/>
    </row>
    <row r="14" spans="1:8" x14ac:dyDescent="0.35">
      <c r="A14" s="28" t="s">
        <v>31</v>
      </c>
      <c r="B14" s="31">
        <f>AVERAGE(B6:B12)</f>
        <v>0.32819999999999994</v>
      </c>
      <c r="C14" s="22">
        <f>AVERAGE(C6:C12)</f>
        <v>1.45</v>
      </c>
      <c r="D14" s="21" t="s">
        <v>157</v>
      </c>
      <c r="E14" s="21"/>
      <c r="F14" s="22">
        <f>AVERAGE(F6:F12)</f>
        <v>2.1666666666666665</v>
      </c>
      <c r="G14" s="30"/>
      <c r="H14" s="5"/>
    </row>
  </sheetData>
  <mergeCells count="5">
    <mergeCell ref="A1:H1"/>
    <mergeCell ref="A3:A4"/>
    <mergeCell ref="B3:D3"/>
    <mergeCell ref="E3:G3"/>
    <mergeCell ref="H3:H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AACC-9B29-4BF8-99F7-FBAB0599D6FB}">
  <dimension ref="A2:H77"/>
  <sheetViews>
    <sheetView topLeftCell="A55" zoomScale="82" zoomScaleNormal="100" workbookViewId="0">
      <selection activeCell="D70" sqref="D70"/>
    </sheetView>
  </sheetViews>
  <sheetFormatPr defaultRowHeight="15.5" x14ac:dyDescent="0.35"/>
  <cols>
    <col min="1" max="1" width="8.7265625" style="48"/>
    <col min="2" max="2" width="15.7265625" style="35" customWidth="1"/>
    <col min="3" max="3" width="48.6328125" style="35" customWidth="1"/>
    <col min="4" max="4" width="16.54296875" style="35" customWidth="1"/>
    <col min="5" max="5" width="63.36328125" style="35" customWidth="1"/>
    <col min="6" max="6" width="73.7265625" style="35" customWidth="1"/>
    <col min="7" max="7" width="28.54296875" style="35" customWidth="1"/>
    <col min="8" max="16384" width="8.7265625" style="35"/>
  </cols>
  <sheetData>
    <row r="2" spans="1:8" x14ac:dyDescent="0.35">
      <c r="A2" s="49" t="s">
        <v>178</v>
      </c>
      <c r="B2" s="34" t="s">
        <v>201</v>
      </c>
      <c r="C2" s="34" t="s">
        <v>179</v>
      </c>
      <c r="D2" s="34" t="s">
        <v>180</v>
      </c>
      <c r="E2" s="34" t="s">
        <v>16</v>
      </c>
      <c r="F2" s="34" t="s">
        <v>181</v>
      </c>
      <c r="G2" s="34" t="s">
        <v>218</v>
      </c>
      <c r="H2" s="34" t="s">
        <v>182</v>
      </c>
    </row>
    <row r="3" spans="1:8" x14ac:dyDescent="0.35">
      <c r="A3" s="50">
        <v>1</v>
      </c>
      <c r="B3" s="36" t="s">
        <v>202</v>
      </c>
      <c r="C3" s="36" t="s">
        <v>183</v>
      </c>
      <c r="D3" s="39" t="s">
        <v>29</v>
      </c>
      <c r="E3" s="36" t="s">
        <v>184</v>
      </c>
      <c r="F3" s="36" t="s">
        <v>185</v>
      </c>
      <c r="G3" s="36"/>
      <c r="H3" s="36"/>
    </row>
    <row r="4" spans="1:8" x14ac:dyDescent="0.35">
      <c r="A4" s="50">
        <v>2</v>
      </c>
      <c r="B4" s="36" t="s">
        <v>202</v>
      </c>
      <c r="C4" s="36" t="s">
        <v>186</v>
      </c>
      <c r="D4" s="39" t="s">
        <v>29</v>
      </c>
      <c r="E4" s="36" t="s">
        <v>187</v>
      </c>
      <c r="F4" s="36" t="s">
        <v>188</v>
      </c>
      <c r="G4" s="36"/>
      <c r="H4" s="36"/>
    </row>
    <row r="5" spans="1:8" x14ac:dyDescent="0.35">
      <c r="A5" s="50">
        <v>3</v>
      </c>
      <c r="B5" s="36" t="s">
        <v>202</v>
      </c>
      <c r="C5" s="36" t="s">
        <v>189</v>
      </c>
      <c r="D5" s="39" t="s">
        <v>29</v>
      </c>
      <c r="E5" s="36" t="s">
        <v>190</v>
      </c>
      <c r="F5" s="36" t="s">
        <v>191</v>
      </c>
      <c r="G5" s="36"/>
      <c r="H5" s="36"/>
    </row>
    <row r="6" spans="1:8" x14ac:dyDescent="0.35">
      <c r="A6" s="50">
        <v>4</v>
      </c>
      <c r="B6" s="36" t="s">
        <v>202</v>
      </c>
      <c r="C6" s="36" t="s">
        <v>192</v>
      </c>
      <c r="D6" s="39" t="s">
        <v>29</v>
      </c>
      <c r="E6" s="36" t="s">
        <v>193</v>
      </c>
      <c r="F6" s="36" t="s">
        <v>194</v>
      </c>
      <c r="G6" s="36"/>
      <c r="H6" s="36"/>
    </row>
    <row r="7" spans="1:8" x14ac:dyDescent="0.35">
      <c r="A7" s="50">
        <v>5</v>
      </c>
      <c r="B7" s="36" t="s">
        <v>202</v>
      </c>
      <c r="C7" s="36" t="s">
        <v>195</v>
      </c>
      <c r="D7" s="40" t="s">
        <v>26</v>
      </c>
      <c r="E7" s="36" t="s">
        <v>196</v>
      </c>
      <c r="F7" s="36" t="s">
        <v>197</v>
      </c>
      <c r="G7" s="36"/>
      <c r="H7" s="36"/>
    </row>
    <row r="8" spans="1:8" x14ac:dyDescent="0.35">
      <c r="A8" s="50">
        <v>6</v>
      </c>
      <c r="B8" s="36" t="s">
        <v>202</v>
      </c>
      <c r="C8" s="36" t="s">
        <v>198</v>
      </c>
      <c r="D8" s="40" t="s">
        <v>26</v>
      </c>
      <c r="E8" s="36" t="s">
        <v>199</v>
      </c>
      <c r="F8" s="36" t="s">
        <v>200</v>
      </c>
      <c r="G8" s="36"/>
      <c r="H8" s="36"/>
    </row>
    <row r="9" spans="1:8" x14ac:dyDescent="0.35">
      <c r="A9" s="51">
        <v>7</v>
      </c>
      <c r="B9" s="37" t="s">
        <v>237</v>
      </c>
      <c r="C9" s="37" t="s">
        <v>219</v>
      </c>
      <c r="D9" s="39" t="s">
        <v>29</v>
      </c>
      <c r="E9" s="37" t="s">
        <v>220</v>
      </c>
      <c r="F9" s="37" t="s">
        <v>221</v>
      </c>
      <c r="G9" s="37"/>
      <c r="H9" s="37"/>
    </row>
    <row r="10" spans="1:8" x14ac:dyDescent="0.35">
      <c r="A10" s="51">
        <v>8</v>
      </c>
      <c r="B10" s="37" t="s">
        <v>237</v>
      </c>
      <c r="C10" s="37" t="s">
        <v>222</v>
      </c>
      <c r="D10" s="39" t="s">
        <v>29</v>
      </c>
      <c r="E10" s="37" t="s">
        <v>223</v>
      </c>
      <c r="F10" s="37" t="s">
        <v>224</v>
      </c>
      <c r="G10" s="37"/>
      <c r="H10" s="37"/>
    </row>
    <row r="11" spans="1:8" x14ac:dyDescent="0.35">
      <c r="A11" s="51">
        <v>9</v>
      </c>
      <c r="B11" s="37" t="s">
        <v>237</v>
      </c>
      <c r="C11" s="37" t="s">
        <v>225</v>
      </c>
      <c r="D11" s="39" t="s">
        <v>29</v>
      </c>
      <c r="E11" s="37" t="s">
        <v>226</v>
      </c>
      <c r="F11" s="37" t="s">
        <v>227</v>
      </c>
      <c r="G11" s="37"/>
      <c r="H11" s="37"/>
    </row>
    <row r="12" spans="1:8" x14ac:dyDescent="0.35">
      <c r="A12" s="51">
        <v>10</v>
      </c>
      <c r="B12" s="37" t="s">
        <v>237</v>
      </c>
      <c r="C12" s="37" t="s">
        <v>228</v>
      </c>
      <c r="D12" s="40" t="s">
        <v>26</v>
      </c>
      <c r="E12" s="37" t="s">
        <v>229</v>
      </c>
      <c r="F12" s="37" t="s">
        <v>230</v>
      </c>
      <c r="G12" s="37"/>
      <c r="H12" s="37"/>
    </row>
    <row r="13" spans="1:8" x14ac:dyDescent="0.35">
      <c r="A13" s="51">
        <v>11</v>
      </c>
      <c r="B13" s="37" t="s">
        <v>237</v>
      </c>
      <c r="C13" s="37" t="s">
        <v>231</v>
      </c>
      <c r="D13" s="39" t="s">
        <v>29</v>
      </c>
      <c r="E13" s="37" t="s">
        <v>232</v>
      </c>
      <c r="F13" s="37" t="s">
        <v>233</v>
      </c>
      <c r="G13" s="37"/>
      <c r="H13" s="37"/>
    </row>
    <row r="14" spans="1:8" x14ac:dyDescent="0.35">
      <c r="A14" s="51">
        <v>12</v>
      </c>
      <c r="B14" s="37" t="s">
        <v>237</v>
      </c>
      <c r="C14" s="37" t="s">
        <v>234</v>
      </c>
      <c r="D14" s="40" t="s">
        <v>26</v>
      </c>
      <c r="E14" s="37" t="s">
        <v>235</v>
      </c>
      <c r="F14" s="37" t="s">
        <v>236</v>
      </c>
      <c r="G14" s="37"/>
      <c r="H14" s="37"/>
    </row>
    <row r="15" spans="1:8" ht="62" x14ac:dyDescent="0.35">
      <c r="A15" s="52">
        <v>13</v>
      </c>
      <c r="B15" s="38" t="s">
        <v>15</v>
      </c>
      <c r="C15" s="38" t="s">
        <v>260</v>
      </c>
      <c r="D15" s="39" t="s">
        <v>29</v>
      </c>
      <c r="E15" s="38" t="s">
        <v>261</v>
      </c>
      <c r="F15" s="38" t="s">
        <v>262</v>
      </c>
      <c r="G15" s="38" t="s">
        <v>263</v>
      </c>
      <c r="H15" s="38"/>
    </row>
    <row r="16" spans="1:8" ht="62" x14ac:dyDescent="0.35">
      <c r="A16" s="52">
        <v>14</v>
      </c>
      <c r="B16" s="38" t="s">
        <v>15</v>
      </c>
      <c r="C16" s="38" t="s">
        <v>264</v>
      </c>
      <c r="D16" s="39" t="s">
        <v>29</v>
      </c>
      <c r="E16" s="38" t="s">
        <v>265</v>
      </c>
      <c r="F16" s="38" t="s">
        <v>266</v>
      </c>
      <c r="G16" s="38" t="s">
        <v>267</v>
      </c>
      <c r="H16" s="38"/>
    </row>
    <row r="17" spans="1:8" ht="46.5" x14ac:dyDescent="0.35">
      <c r="A17" s="52">
        <v>15</v>
      </c>
      <c r="B17" s="38" t="s">
        <v>15</v>
      </c>
      <c r="C17" s="38" t="s">
        <v>268</v>
      </c>
      <c r="D17" s="39" t="s">
        <v>29</v>
      </c>
      <c r="E17" s="38" t="s">
        <v>269</v>
      </c>
      <c r="F17" s="38" t="s">
        <v>270</v>
      </c>
      <c r="G17" s="38" t="s">
        <v>271</v>
      </c>
      <c r="H17" s="38"/>
    </row>
    <row r="18" spans="1:8" ht="46.5" x14ac:dyDescent="0.35">
      <c r="A18" s="52">
        <v>16</v>
      </c>
      <c r="B18" s="38" t="s">
        <v>15</v>
      </c>
      <c r="C18" s="38" t="s">
        <v>272</v>
      </c>
      <c r="D18" s="40" t="s">
        <v>26</v>
      </c>
      <c r="E18" s="38" t="s">
        <v>273</v>
      </c>
      <c r="F18" s="38" t="s">
        <v>274</v>
      </c>
      <c r="G18" s="38" t="s">
        <v>275</v>
      </c>
      <c r="H18" s="38"/>
    </row>
    <row r="19" spans="1:8" ht="46.5" x14ac:dyDescent="0.35">
      <c r="A19" s="52">
        <v>17</v>
      </c>
      <c r="B19" s="38" t="s">
        <v>15</v>
      </c>
      <c r="C19" s="38" t="s">
        <v>276</v>
      </c>
      <c r="D19" s="40" t="s">
        <v>26</v>
      </c>
      <c r="E19" s="38" t="s">
        <v>277</v>
      </c>
      <c r="F19" s="38" t="s">
        <v>278</v>
      </c>
      <c r="G19" s="38" t="s">
        <v>279</v>
      </c>
      <c r="H19" s="38"/>
    </row>
    <row r="20" spans="1:8" ht="46.5" x14ac:dyDescent="0.35">
      <c r="A20" s="52">
        <v>18</v>
      </c>
      <c r="B20" s="38" t="s">
        <v>15</v>
      </c>
      <c r="C20" s="38" t="s">
        <v>280</v>
      </c>
      <c r="D20" s="41" t="s">
        <v>26</v>
      </c>
      <c r="E20" s="38" t="s">
        <v>281</v>
      </c>
      <c r="F20" s="38" t="s">
        <v>282</v>
      </c>
      <c r="G20" s="38" t="s">
        <v>283</v>
      </c>
      <c r="H20" s="38"/>
    </row>
    <row r="21" spans="1:8" ht="46.5" x14ac:dyDescent="0.35">
      <c r="A21" s="52">
        <v>19</v>
      </c>
      <c r="B21" s="38" t="s">
        <v>15</v>
      </c>
      <c r="C21" s="38" t="s">
        <v>284</v>
      </c>
      <c r="D21" s="41" t="s">
        <v>26</v>
      </c>
      <c r="E21" s="38" t="s">
        <v>285</v>
      </c>
      <c r="F21" s="38" t="s">
        <v>286</v>
      </c>
      <c r="G21" s="38" t="s">
        <v>287</v>
      </c>
      <c r="H21" s="38"/>
    </row>
    <row r="22" spans="1:8" ht="31" x14ac:dyDescent="0.35">
      <c r="A22" s="52">
        <v>20</v>
      </c>
      <c r="B22" s="38" t="s">
        <v>15</v>
      </c>
      <c r="C22" s="38" t="s">
        <v>288</v>
      </c>
      <c r="D22" s="40" t="s">
        <v>26</v>
      </c>
      <c r="E22" s="38" t="s">
        <v>289</v>
      </c>
      <c r="F22" s="38" t="s">
        <v>290</v>
      </c>
      <c r="G22" s="38" t="s">
        <v>291</v>
      </c>
      <c r="H22" s="38"/>
    </row>
    <row r="23" spans="1:8" ht="46.5" x14ac:dyDescent="0.35">
      <c r="A23" s="52">
        <v>21</v>
      </c>
      <c r="B23" s="38" t="s">
        <v>15</v>
      </c>
      <c r="C23" s="38" t="s">
        <v>292</v>
      </c>
      <c r="D23" s="40" t="s">
        <v>26</v>
      </c>
      <c r="E23" s="38" t="s">
        <v>293</v>
      </c>
      <c r="F23" s="38" t="s">
        <v>294</v>
      </c>
      <c r="G23" s="38" t="s">
        <v>295</v>
      </c>
      <c r="H23" s="38"/>
    </row>
    <row r="24" spans="1:8" ht="62" x14ac:dyDescent="0.35">
      <c r="A24" s="52">
        <v>22</v>
      </c>
      <c r="B24" s="38" t="s">
        <v>15</v>
      </c>
      <c r="C24" s="38" t="s">
        <v>296</v>
      </c>
      <c r="D24" s="40" t="s">
        <v>26</v>
      </c>
      <c r="E24" s="38" t="s">
        <v>297</v>
      </c>
      <c r="F24" s="38" t="s">
        <v>298</v>
      </c>
      <c r="G24" s="38" t="s">
        <v>299</v>
      </c>
      <c r="H24" s="38"/>
    </row>
    <row r="25" spans="1:8" x14ac:dyDescent="0.35">
      <c r="A25" s="52">
        <v>23</v>
      </c>
      <c r="B25" s="38" t="s">
        <v>15</v>
      </c>
      <c r="C25" s="38" t="s">
        <v>300</v>
      </c>
      <c r="D25" s="41" t="s">
        <v>26</v>
      </c>
      <c r="E25" s="38" t="s">
        <v>301</v>
      </c>
      <c r="F25" s="38" t="s">
        <v>302</v>
      </c>
      <c r="G25" s="38" t="s">
        <v>303</v>
      </c>
      <c r="H25" s="38"/>
    </row>
    <row r="26" spans="1:8" ht="46.5" x14ac:dyDescent="0.35">
      <c r="A26" s="52">
        <v>24</v>
      </c>
      <c r="B26" s="38" t="s">
        <v>15</v>
      </c>
      <c r="C26" s="38" t="s">
        <v>304</v>
      </c>
      <c r="D26" s="42" t="s">
        <v>24</v>
      </c>
      <c r="E26" s="38" t="s">
        <v>305</v>
      </c>
      <c r="F26" s="38" t="s">
        <v>306</v>
      </c>
      <c r="G26" s="38" t="s">
        <v>307</v>
      </c>
      <c r="H26" s="38"/>
    </row>
    <row r="27" spans="1:8" ht="46.5" x14ac:dyDescent="0.35">
      <c r="A27" s="52">
        <v>25</v>
      </c>
      <c r="B27" s="38" t="s">
        <v>15</v>
      </c>
      <c r="C27" s="38" t="s">
        <v>308</v>
      </c>
      <c r="D27" s="42" t="s">
        <v>24</v>
      </c>
      <c r="E27" s="38" t="s">
        <v>309</v>
      </c>
      <c r="F27" s="38" t="s">
        <v>310</v>
      </c>
      <c r="G27" s="38" t="s">
        <v>307</v>
      </c>
      <c r="H27" s="38"/>
    </row>
    <row r="28" spans="1:8" ht="62" x14ac:dyDescent="0.35">
      <c r="A28" s="52">
        <v>26</v>
      </c>
      <c r="B28" s="38" t="s">
        <v>15</v>
      </c>
      <c r="C28" s="38" t="s">
        <v>311</v>
      </c>
      <c r="D28" s="42" t="s">
        <v>24</v>
      </c>
      <c r="E28" s="38" t="s">
        <v>312</v>
      </c>
      <c r="F28" s="38" t="s">
        <v>313</v>
      </c>
      <c r="G28" s="38" t="s">
        <v>314</v>
      </c>
      <c r="H28" s="38"/>
    </row>
    <row r="29" spans="1:8" ht="62" x14ac:dyDescent="0.35">
      <c r="A29" s="52">
        <v>27</v>
      </c>
      <c r="B29" s="38" t="s">
        <v>15</v>
      </c>
      <c r="C29" s="38" t="s">
        <v>315</v>
      </c>
      <c r="D29" s="42" t="s">
        <v>24</v>
      </c>
      <c r="E29" s="38" t="s">
        <v>316</v>
      </c>
      <c r="F29" s="38" t="s">
        <v>317</v>
      </c>
      <c r="G29" s="38" t="s">
        <v>318</v>
      </c>
      <c r="H29" s="38"/>
    </row>
    <row r="30" spans="1:8" ht="62" x14ac:dyDescent="0.35">
      <c r="A30" s="52">
        <v>28</v>
      </c>
      <c r="B30" s="38" t="s">
        <v>15</v>
      </c>
      <c r="C30" s="38" t="s">
        <v>319</v>
      </c>
      <c r="D30" s="42" t="s">
        <v>24</v>
      </c>
      <c r="E30" s="38" t="s">
        <v>320</v>
      </c>
      <c r="F30" s="38" t="s">
        <v>321</v>
      </c>
      <c r="G30" s="38" t="s">
        <v>322</v>
      </c>
      <c r="H30" s="38"/>
    </row>
    <row r="31" spans="1:8" ht="62" x14ac:dyDescent="0.35">
      <c r="A31" s="52">
        <v>29</v>
      </c>
      <c r="B31" s="38" t="s">
        <v>15</v>
      </c>
      <c r="C31" s="38" t="s">
        <v>323</v>
      </c>
      <c r="D31" s="42" t="s">
        <v>24</v>
      </c>
      <c r="E31" s="38" t="s">
        <v>324</v>
      </c>
      <c r="F31" s="38" t="s">
        <v>325</v>
      </c>
      <c r="G31" s="38" t="s">
        <v>326</v>
      </c>
      <c r="H31" s="38"/>
    </row>
    <row r="32" spans="1:8" ht="31" x14ac:dyDescent="0.35">
      <c r="A32" s="52">
        <v>30</v>
      </c>
      <c r="B32" s="38" t="s">
        <v>15</v>
      </c>
      <c r="C32" s="38" t="s">
        <v>327</v>
      </c>
      <c r="D32" s="42" t="s">
        <v>24</v>
      </c>
      <c r="E32" s="38" t="s">
        <v>328</v>
      </c>
      <c r="F32" s="38" t="s">
        <v>329</v>
      </c>
      <c r="G32" s="38" t="s">
        <v>330</v>
      </c>
      <c r="H32" s="38"/>
    </row>
    <row r="33" spans="1:8" ht="31" x14ac:dyDescent="0.35">
      <c r="A33" s="52">
        <v>31</v>
      </c>
      <c r="B33" s="38" t="s">
        <v>15</v>
      </c>
      <c r="C33" s="38" t="s">
        <v>331</v>
      </c>
      <c r="D33" s="42" t="s">
        <v>24</v>
      </c>
      <c r="E33" s="38" t="s">
        <v>332</v>
      </c>
      <c r="F33" s="38" t="s">
        <v>333</v>
      </c>
      <c r="G33" s="38" t="s">
        <v>334</v>
      </c>
      <c r="H33" s="38"/>
    </row>
    <row r="34" spans="1:8" x14ac:dyDescent="0.35">
      <c r="A34" s="53">
        <v>32</v>
      </c>
      <c r="B34" s="43" t="s">
        <v>372</v>
      </c>
      <c r="C34" s="44" t="s">
        <v>339</v>
      </c>
      <c r="D34" s="39" t="s">
        <v>29</v>
      </c>
      <c r="E34" s="44" t="s">
        <v>340</v>
      </c>
      <c r="F34" s="44" t="s">
        <v>341</v>
      </c>
      <c r="G34" s="45"/>
      <c r="H34" s="45"/>
    </row>
    <row r="35" spans="1:8" x14ac:dyDescent="0.35">
      <c r="A35" s="53">
        <v>33</v>
      </c>
      <c r="B35" s="43" t="s">
        <v>372</v>
      </c>
      <c r="C35" s="44" t="s">
        <v>342</v>
      </c>
      <c r="D35" s="39" t="s">
        <v>29</v>
      </c>
      <c r="E35" s="44" t="s">
        <v>343</v>
      </c>
      <c r="F35" s="44" t="s">
        <v>344</v>
      </c>
      <c r="G35" s="45"/>
      <c r="H35" s="45"/>
    </row>
    <row r="36" spans="1:8" x14ac:dyDescent="0.35">
      <c r="A36" s="53">
        <v>34</v>
      </c>
      <c r="B36" s="43" t="s">
        <v>372</v>
      </c>
      <c r="C36" s="44" t="s">
        <v>345</v>
      </c>
      <c r="D36" s="40" t="s">
        <v>26</v>
      </c>
      <c r="E36" s="44" t="s">
        <v>346</v>
      </c>
      <c r="F36" s="44" t="s">
        <v>347</v>
      </c>
      <c r="G36" s="45"/>
      <c r="H36" s="45"/>
    </row>
    <row r="37" spans="1:8" x14ac:dyDescent="0.35">
      <c r="A37" s="53">
        <v>35</v>
      </c>
      <c r="B37" s="43" t="s">
        <v>372</v>
      </c>
      <c r="C37" s="44" t="s">
        <v>348</v>
      </c>
      <c r="D37" s="40" t="s">
        <v>26</v>
      </c>
      <c r="E37" s="44" t="s">
        <v>349</v>
      </c>
      <c r="F37" s="44" t="s">
        <v>350</v>
      </c>
      <c r="G37" s="45"/>
      <c r="H37" s="45"/>
    </row>
    <row r="38" spans="1:8" x14ac:dyDescent="0.35">
      <c r="A38" s="53">
        <v>36</v>
      </c>
      <c r="B38" s="43" t="s">
        <v>372</v>
      </c>
      <c r="C38" s="44" t="s">
        <v>351</v>
      </c>
      <c r="D38" s="40" t="s">
        <v>26</v>
      </c>
      <c r="E38" s="44" t="s">
        <v>352</v>
      </c>
      <c r="F38" s="44" t="s">
        <v>353</v>
      </c>
      <c r="G38" s="45"/>
      <c r="H38" s="45"/>
    </row>
    <row r="39" spans="1:8" x14ac:dyDescent="0.35">
      <c r="A39" s="53">
        <v>37</v>
      </c>
      <c r="B39" s="43" t="s">
        <v>372</v>
      </c>
      <c r="C39" s="44" t="s">
        <v>354</v>
      </c>
      <c r="D39" s="40" t="s">
        <v>26</v>
      </c>
      <c r="E39" s="44" t="s">
        <v>355</v>
      </c>
      <c r="F39" s="44" t="s">
        <v>356</v>
      </c>
      <c r="G39" s="45"/>
      <c r="H39" s="45"/>
    </row>
    <row r="40" spans="1:8" x14ac:dyDescent="0.35">
      <c r="A40" s="53">
        <v>38</v>
      </c>
      <c r="B40" s="43" t="s">
        <v>372</v>
      </c>
      <c r="C40" s="44" t="s">
        <v>360</v>
      </c>
      <c r="D40" s="40" t="s">
        <v>26</v>
      </c>
      <c r="E40" s="44" t="s">
        <v>361</v>
      </c>
      <c r="F40" s="44" t="s">
        <v>362</v>
      </c>
      <c r="G40" s="45"/>
      <c r="H40" s="45"/>
    </row>
    <row r="41" spans="1:8" x14ac:dyDescent="0.35">
      <c r="A41" s="53">
        <v>39</v>
      </c>
      <c r="B41" s="43" t="s">
        <v>372</v>
      </c>
      <c r="C41" s="44" t="s">
        <v>363</v>
      </c>
      <c r="D41" s="40" t="s">
        <v>26</v>
      </c>
      <c r="E41" s="44" t="s">
        <v>364</v>
      </c>
      <c r="F41" s="44" t="s">
        <v>365</v>
      </c>
      <c r="G41" s="45"/>
      <c r="H41" s="45"/>
    </row>
    <row r="42" spans="1:8" x14ac:dyDescent="0.35">
      <c r="A42" s="53">
        <v>40</v>
      </c>
      <c r="B42" s="43" t="s">
        <v>372</v>
      </c>
      <c r="C42" s="44" t="s">
        <v>366</v>
      </c>
      <c r="D42" s="42" t="s">
        <v>24</v>
      </c>
      <c r="E42" s="44" t="s">
        <v>367</v>
      </c>
      <c r="F42" s="44" t="s">
        <v>368</v>
      </c>
      <c r="G42" s="45"/>
      <c r="H42" s="45"/>
    </row>
    <row r="43" spans="1:8" x14ac:dyDescent="0.35">
      <c r="A43" s="53">
        <v>41</v>
      </c>
      <c r="B43" s="43" t="s">
        <v>372</v>
      </c>
      <c r="C43" s="44" t="s">
        <v>369</v>
      </c>
      <c r="D43" s="42" t="s">
        <v>24</v>
      </c>
      <c r="E43" s="44" t="s">
        <v>370</v>
      </c>
      <c r="F43" s="44" t="s">
        <v>371</v>
      </c>
      <c r="G43" s="45"/>
      <c r="H43" s="45"/>
    </row>
    <row r="44" spans="1:8" x14ac:dyDescent="0.35">
      <c r="A44" s="53">
        <v>42</v>
      </c>
      <c r="B44" s="43" t="s">
        <v>372</v>
      </c>
      <c r="C44" s="44" t="s">
        <v>357</v>
      </c>
      <c r="D44" s="42" t="s">
        <v>24</v>
      </c>
      <c r="E44" s="44" t="s">
        <v>358</v>
      </c>
      <c r="F44" s="44" t="s">
        <v>359</v>
      </c>
      <c r="G44" s="45"/>
      <c r="H44" s="45"/>
    </row>
    <row r="45" spans="1:8" x14ac:dyDescent="0.35">
      <c r="A45" s="54">
        <v>43</v>
      </c>
      <c r="B45" s="55" t="s">
        <v>144</v>
      </c>
      <c r="C45" s="56" t="s">
        <v>377</v>
      </c>
      <c r="D45" s="39" t="s">
        <v>29</v>
      </c>
      <c r="E45" s="56" t="s">
        <v>378</v>
      </c>
      <c r="F45" s="56" t="s">
        <v>379</v>
      </c>
      <c r="G45" s="55"/>
      <c r="H45" s="55"/>
    </row>
    <row r="46" spans="1:8" x14ac:dyDescent="0.35">
      <c r="A46" s="54">
        <v>44</v>
      </c>
      <c r="B46" s="55" t="s">
        <v>144</v>
      </c>
      <c r="C46" s="56" t="s">
        <v>380</v>
      </c>
      <c r="D46" s="39" t="s">
        <v>29</v>
      </c>
      <c r="E46" s="56" t="s">
        <v>381</v>
      </c>
      <c r="F46" s="56" t="s">
        <v>382</v>
      </c>
      <c r="G46" s="55"/>
      <c r="H46" s="55"/>
    </row>
    <row r="47" spans="1:8" x14ac:dyDescent="0.35">
      <c r="A47" s="54">
        <v>45</v>
      </c>
      <c r="B47" s="55" t="s">
        <v>144</v>
      </c>
      <c r="C47" s="56" t="s">
        <v>383</v>
      </c>
      <c r="D47" s="39" t="s">
        <v>29</v>
      </c>
      <c r="E47" s="56" t="s">
        <v>384</v>
      </c>
      <c r="F47" s="56" t="s">
        <v>385</v>
      </c>
      <c r="G47" s="55"/>
      <c r="H47" s="55"/>
    </row>
    <row r="48" spans="1:8" x14ac:dyDescent="0.35">
      <c r="A48" s="54">
        <v>46</v>
      </c>
      <c r="B48" s="55" t="s">
        <v>144</v>
      </c>
      <c r="C48" s="56" t="s">
        <v>386</v>
      </c>
      <c r="D48" s="39" t="s">
        <v>29</v>
      </c>
      <c r="E48" s="56" t="s">
        <v>387</v>
      </c>
      <c r="F48" s="56" t="s">
        <v>388</v>
      </c>
      <c r="G48" s="55"/>
      <c r="H48" s="55"/>
    </row>
    <row r="49" spans="1:8" x14ac:dyDescent="0.35">
      <c r="A49" s="54">
        <v>47</v>
      </c>
      <c r="B49" s="55" t="s">
        <v>144</v>
      </c>
      <c r="C49" s="56" t="s">
        <v>392</v>
      </c>
      <c r="D49" s="39" t="s">
        <v>29</v>
      </c>
      <c r="E49" s="56" t="s">
        <v>393</v>
      </c>
      <c r="F49" s="56" t="s">
        <v>394</v>
      </c>
      <c r="G49" s="55"/>
      <c r="H49" s="55"/>
    </row>
    <row r="50" spans="1:8" x14ac:dyDescent="0.35">
      <c r="A50" s="54">
        <v>48</v>
      </c>
      <c r="B50" s="55" t="s">
        <v>144</v>
      </c>
      <c r="C50" s="56" t="s">
        <v>389</v>
      </c>
      <c r="D50" s="42" t="s">
        <v>24</v>
      </c>
      <c r="E50" s="56" t="s">
        <v>390</v>
      </c>
      <c r="F50" s="56" t="s">
        <v>391</v>
      </c>
      <c r="G50" s="55"/>
      <c r="H50" s="55"/>
    </row>
    <row r="51" spans="1:8" x14ac:dyDescent="0.35">
      <c r="A51" s="69">
        <v>49</v>
      </c>
      <c r="B51" s="70" t="s">
        <v>408</v>
      </c>
      <c r="C51" s="71" t="s">
        <v>409</v>
      </c>
      <c r="D51" s="39" t="s">
        <v>29</v>
      </c>
      <c r="E51" s="71" t="s">
        <v>410</v>
      </c>
      <c r="F51" s="70"/>
      <c r="G51" s="70"/>
      <c r="H51" s="70"/>
    </row>
    <row r="52" spans="1:8" x14ac:dyDescent="0.35">
      <c r="A52" s="69">
        <v>50</v>
      </c>
      <c r="B52" s="70" t="s">
        <v>408</v>
      </c>
      <c r="C52" s="71" t="s">
        <v>411</v>
      </c>
      <c r="D52" s="39" t="s">
        <v>29</v>
      </c>
      <c r="E52" s="71" t="s">
        <v>412</v>
      </c>
      <c r="F52" s="70"/>
      <c r="G52" s="70"/>
      <c r="H52" s="70"/>
    </row>
    <row r="53" spans="1:8" x14ac:dyDescent="0.35">
      <c r="A53" s="69">
        <v>51</v>
      </c>
      <c r="B53" s="70" t="s">
        <v>408</v>
      </c>
      <c r="C53" s="71" t="s">
        <v>417</v>
      </c>
      <c r="D53" s="39" t="s">
        <v>29</v>
      </c>
      <c r="E53" s="71" t="s">
        <v>418</v>
      </c>
      <c r="F53" s="70"/>
      <c r="G53" s="70"/>
      <c r="H53" s="70"/>
    </row>
    <row r="54" spans="1:8" x14ac:dyDescent="0.35">
      <c r="A54" s="69">
        <v>52</v>
      </c>
      <c r="B54" s="70" t="s">
        <v>408</v>
      </c>
      <c r="C54" s="71" t="s">
        <v>419</v>
      </c>
      <c r="D54" s="39" t="s">
        <v>29</v>
      </c>
      <c r="E54" s="71" t="s">
        <v>420</v>
      </c>
      <c r="F54" s="70"/>
      <c r="G54" s="70"/>
      <c r="H54" s="70"/>
    </row>
    <row r="55" spans="1:8" x14ac:dyDescent="0.35">
      <c r="A55" s="69">
        <v>53</v>
      </c>
      <c r="B55" s="70" t="s">
        <v>408</v>
      </c>
      <c r="C55" s="71" t="s">
        <v>413</v>
      </c>
      <c r="D55" s="40" t="s">
        <v>26</v>
      </c>
      <c r="E55" s="71" t="s">
        <v>414</v>
      </c>
      <c r="F55" s="70"/>
      <c r="G55" s="70"/>
      <c r="H55" s="70"/>
    </row>
    <row r="56" spans="1:8" x14ac:dyDescent="0.35">
      <c r="A56" s="69">
        <v>54</v>
      </c>
      <c r="B56" s="70" t="s">
        <v>408</v>
      </c>
      <c r="C56" s="71" t="s">
        <v>415</v>
      </c>
      <c r="D56" s="40" t="s">
        <v>26</v>
      </c>
      <c r="E56" s="71" t="s">
        <v>416</v>
      </c>
      <c r="F56" s="70"/>
      <c r="G56" s="70"/>
      <c r="H56" s="70"/>
    </row>
    <row r="57" spans="1:8" x14ac:dyDescent="0.35">
      <c r="A57" s="69">
        <v>55</v>
      </c>
      <c r="B57" s="35" t="s">
        <v>145</v>
      </c>
      <c r="C57" s="20" t="s">
        <v>426</v>
      </c>
      <c r="D57" s="39" t="s">
        <v>29</v>
      </c>
      <c r="E57" s="20" t="s">
        <v>447</v>
      </c>
      <c r="F57" s="20" t="s">
        <v>468</v>
      </c>
    </row>
    <row r="58" spans="1:8" x14ac:dyDescent="0.35">
      <c r="A58" s="69">
        <v>56</v>
      </c>
      <c r="B58" s="35" t="s">
        <v>145</v>
      </c>
      <c r="C58" s="20" t="s">
        <v>427</v>
      </c>
      <c r="D58" s="39" t="s">
        <v>29</v>
      </c>
      <c r="E58" s="20" t="s">
        <v>448</v>
      </c>
      <c r="F58" s="20" t="s">
        <v>469</v>
      </c>
    </row>
    <row r="59" spans="1:8" x14ac:dyDescent="0.35">
      <c r="A59" s="69">
        <v>57</v>
      </c>
      <c r="B59" s="35" t="s">
        <v>145</v>
      </c>
      <c r="C59" s="20" t="s">
        <v>428</v>
      </c>
      <c r="D59" s="39" t="s">
        <v>29</v>
      </c>
      <c r="E59" s="20" t="s">
        <v>449</v>
      </c>
      <c r="F59" s="20" t="s">
        <v>470</v>
      </c>
    </row>
    <row r="60" spans="1:8" x14ac:dyDescent="0.35">
      <c r="A60" s="69">
        <v>58</v>
      </c>
      <c r="B60" s="35" t="s">
        <v>145</v>
      </c>
      <c r="C60" s="20" t="s">
        <v>429</v>
      </c>
      <c r="D60" s="39" t="s">
        <v>29</v>
      </c>
      <c r="E60" s="20" t="s">
        <v>450</v>
      </c>
      <c r="F60" s="20" t="s">
        <v>471</v>
      </c>
    </row>
    <row r="61" spans="1:8" x14ac:dyDescent="0.35">
      <c r="A61" s="69">
        <v>59</v>
      </c>
      <c r="B61" s="35" t="s">
        <v>145</v>
      </c>
      <c r="C61" s="20" t="s">
        <v>430</v>
      </c>
      <c r="D61" s="39" t="s">
        <v>29</v>
      </c>
      <c r="E61" s="20" t="s">
        <v>451</v>
      </c>
      <c r="F61" s="20" t="s">
        <v>472</v>
      </c>
    </row>
    <row r="62" spans="1:8" x14ac:dyDescent="0.35">
      <c r="A62" s="69">
        <v>60</v>
      </c>
      <c r="B62" s="35" t="s">
        <v>145</v>
      </c>
      <c r="C62" s="20" t="s">
        <v>431</v>
      </c>
      <c r="D62" s="39" t="s">
        <v>29</v>
      </c>
      <c r="E62" s="20" t="s">
        <v>452</v>
      </c>
      <c r="F62" s="20" t="s">
        <v>473</v>
      </c>
    </row>
    <row r="63" spans="1:8" x14ac:dyDescent="0.35">
      <c r="A63" s="69">
        <v>61</v>
      </c>
      <c r="B63" s="35" t="s">
        <v>145</v>
      </c>
      <c r="C63" s="20" t="s">
        <v>432</v>
      </c>
      <c r="D63" s="39" t="s">
        <v>29</v>
      </c>
      <c r="E63" s="20" t="s">
        <v>453</v>
      </c>
      <c r="F63" s="20" t="s">
        <v>474</v>
      </c>
    </row>
    <row r="64" spans="1:8" x14ac:dyDescent="0.35">
      <c r="A64" s="69">
        <v>62</v>
      </c>
      <c r="B64" s="35" t="s">
        <v>145</v>
      </c>
      <c r="C64" s="20" t="s">
        <v>433</v>
      </c>
      <c r="D64" s="40" t="s">
        <v>26</v>
      </c>
      <c r="E64" s="20" t="s">
        <v>454</v>
      </c>
      <c r="F64" s="20" t="s">
        <v>475</v>
      </c>
    </row>
    <row r="65" spans="1:6" x14ac:dyDescent="0.35">
      <c r="A65" s="69">
        <v>63</v>
      </c>
      <c r="B65" s="35" t="s">
        <v>145</v>
      </c>
      <c r="C65" s="20" t="s">
        <v>434</v>
      </c>
      <c r="D65" s="40" t="s">
        <v>26</v>
      </c>
      <c r="E65" s="20" t="s">
        <v>455</v>
      </c>
      <c r="F65" s="20" t="s">
        <v>476</v>
      </c>
    </row>
    <row r="66" spans="1:6" x14ac:dyDescent="0.35">
      <c r="A66" s="69">
        <v>64</v>
      </c>
      <c r="B66" s="35" t="s">
        <v>145</v>
      </c>
      <c r="C66" s="20" t="s">
        <v>435</v>
      </c>
      <c r="D66" s="40" t="s">
        <v>26</v>
      </c>
      <c r="E66" s="20" t="s">
        <v>456</v>
      </c>
      <c r="F66" s="20" t="s">
        <v>477</v>
      </c>
    </row>
    <row r="67" spans="1:6" x14ac:dyDescent="0.35">
      <c r="A67" s="69">
        <v>65</v>
      </c>
      <c r="B67" s="35" t="s">
        <v>145</v>
      </c>
      <c r="C67" s="20" t="s">
        <v>436</v>
      </c>
      <c r="D67" s="42" t="s">
        <v>24</v>
      </c>
      <c r="E67" s="20" t="s">
        <v>457</v>
      </c>
      <c r="F67" s="20" t="s">
        <v>478</v>
      </c>
    </row>
    <row r="68" spans="1:6" x14ac:dyDescent="0.35">
      <c r="A68" s="69">
        <v>66</v>
      </c>
      <c r="B68" s="35" t="s">
        <v>145</v>
      </c>
      <c r="C68" s="20" t="s">
        <v>437</v>
      </c>
      <c r="D68" s="42" t="s">
        <v>24</v>
      </c>
      <c r="E68" s="20" t="s">
        <v>458</v>
      </c>
      <c r="F68" s="20" t="s">
        <v>479</v>
      </c>
    </row>
    <row r="69" spans="1:6" x14ac:dyDescent="0.35">
      <c r="A69" s="69">
        <v>67</v>
      </c>
      <c r="B69" s="35" t="s">
        <v>145</v>
      </c>
      <c r="C69" s="20" t="s">
        <v>438</v>
      </c>
      <c r="D69" s="42" t="s">
        <v>24</v>
      </c>
      <c r="E69" s="20" t="s">
        <v>459</v>
      </c>
      <c r="F69" s="20" t="s">
        <v>480</v>
      </c>
    </row>
    <row r="70" spans="1:6" x14ac:dyDescent="0.35">
      <c r="A70" s="69">
        <v>68</v>
      </c>
      <c r="B70" s="35" t="s">
        <v>145</v>
      </c>
      <c r="C70" s="20" t="s">
        <v>439</v>
      </c>
      <c r="D70" s="42" t="s">
        <v>24</v>
      </c>
      <c r="E70" s="20" t="s">
        <v>460</v>
      </c>
      <c r="F70" s="20" t="s">
        <v>481</v>
      </c>
    </row>
    <row r="71" spans="1:6" x14ac:dyDescent="0.35">
      <c r="A71" s="69">
        <v>69</v>
      </c>
      <c r="B71" s="35" t="s">
        <v>145</v>
      </c>
      <c r="C71" s="20" t="s">
        <v>440</v>
      </c>
      <c r="D71" s="42" t="s">
        <v>24</v>
      </c>
      <c r="E71" s="20" t="s">
        <v>461</v>
      </c>
      <c r="F71" s="20" t="s">
        <v>482</v>
      </c>
    </row>
    <row r="72" spans="1:6" x14ac:dyDescent="0.35">
      <c r="A72" s="69">
        <v>70</v>
      </c>
      <c r="B72" s="35" t="s">
        <v>145</v>
      </c>
      <c r="C72" s="20" t="s">
        <v>441</v>
      </c>
      <c r="D72" s="42" t="s">
        <v>24</v>
      </c>
      <c r="E72" s="20" t="s">
        <v>462</v>
      </c>
      <c r="F72" s="20" t="s">
        <v>483</v>
      </c>
    </row>
    <row r="73" spans="1:6" x14ac:dyDescent="0.35">
      <c r="A73" s="69">
        <v>71</v>
      </c>
      <c r="B73" s="35" t="s">
        <v>145</v>
      </c>
      <c r="C73" s="20" t="s">
        <v>442</v>
      </c>
      <c r="D73" s="42" t="s">
        <v>24</v>
      </c>
      <c r="E73" s="20" t="s">
        <v>463</v>
      </c>
      <c r="F73" s="20" t="s">
        <v>484</v>
      </c>
    </row>
    <row r="74" spans="1:6" x14ac:dyDescent="0.35">
      <c r="A74" s="69">
        <v>72</v>
      </c>
      <c r="B74" s="35" t="s">
        <v>145</v>
      </c>
      <c r="C74" s="20" t="s">
        <v>443</v>
      </c>
      <c r="D74" s="42" t="s">
        <v>24</v>
      </c>
      <c r="E74" s="20" t="s">
        <v>464</v>
      </c>
      <c r="F74" s="20" t="s">
        <v>485</v>
      </c>
    </row>
    <row r="75" spans="1:6" x14ac:dyDescent="0.35">
      <c r="A75" s="69">
        <v>73</v>
      </c>
      <c r="B75" s="35" t="s">
        <v>145</v>
      </c>
      <c r="C75" s="20" t="s">
        <v>444</v>
      </c>
      <c r="D75" s="42" t="s">
        <v>24</v>
      </c>
      <c r="E75" s="20" t="s">
        <v>465</v>
      </c>
      <c r="F75" s="20" t="s">
        <v>486</v>
      </c>
    </row>
    <row r="76" spans="1:6" x14ac:dyDescent="0.35">
      <c r="A76" s="69">
        <v>74</v>
      </c>
      <c r="B76" s="35" t="s">
        <v>145</v>
      </c>
      <c r="C76" s="20" t="s">
        <v>445</v>
      </c>
      <c r="D76" s="42" t="s">
        <v>24</v>
      </c>
      <c r="E76" s="20" t="s">
        <v>466</v>
      </c>
      <c r="F76" s="20" t="s">
        <v>487</v>
      </c>
    </row>
    <row r="77" spans="1:6" x14ac:dyDescent="0.35">
      <c r="A77" s="69">
        <v>75</v>
      </c>
      <c r="B77" s="35" t="s">
        <v>145</v>
      </c>
      <c r="C77" s="20" t="s">
        <v>446</v>
      </c>
      <c r="D77" s="42" t="s">
        <v>24</v>
      </c>
      <c r="E77" s="20" t="s">
        <v>467</v>
      </c>
      <c r="F77" s="20" t="s">
        <v>488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19" workbookViewId="0">
      <selection activeCell="C32" sqref="C32"/>
    </sheetView>
  </sheetViews>
  <sheetFormatPr defaultRowHeight="14.5" x14ac:dyDescent="0.35"/>
  <cols>
    <col min="1" max="1" width="4.81640625" customWidth="1"/>
    <col min="2" max="2" width="10" style="19" customWidth="1"/>
    <col min="3" max="3" width="55.54296875" customWidth="1"/>
    <col min="4" max="5" width="15" customWidth="1"/>
    <col min="6" max="6" width="28.54296875" style="19" customWidth="1"/>
    <col min="7" max="7" width="27.1796875" customWidth="1"/>
  </cols>
  <sheetData>
    <row r="1" spans="1:8" ht="17" x14ac:dyDescent="0.4">
      <c r="A1" s="79" t="s">
        <v>32</v>
      </c>
      <c r="B1" s="79"/>
      <c r="C1" s="74"/>
      <c r="D1" s="74"/>
      <c r="E1" s="74"/>
      <c r="F1" s="74"/>
      <c r="G1" s="74"/>
    </row>
    <row r="3" spans="1:8" x14ac:dyDescent="0.35">
      <c r="A3" s="32" t="s">
        <v>178</v>
      </c>
      <c r="B3" s="32" t="s">
        <v>201</v>
      </c>
      <c r="C3" s="32" t="s">
        <v>203</v>
      </c>
      <c r="D3" s="32" t="s">
        <v>204</v>
      </c>
      <c r="E3" s="32" t="s">
        <v>16</v>
      </c>
      <c r="F3" s="32" t="s">
        <v>205</v>
      </c>
      <c r="G3" s="32" t="s">
        <v>182</v>
      </c>
    </row>
    <row r="4" spans="1:8" x14ac:dyDescent="0.35">
      <c r="A4" s="33">
        <v>1</v>
      </c>
      <c r="B4" s="33" t="s">
        <v>202</v>
      </c>
      <c r="C4" s="33" t="s">
        <v>206</v>
      </c>
      <c r="D4" s="33"/>
      <c r="E4" s="33" t="s">
        <v>208</v>
      </c>
      <c r="F4" s="33"/>
      <c r="G4" s="33"/>
      <c r="H4" s="19" t="s">
        <v>254</v>
      </c>
    </row>
    <row r="5" spans="1:8" x14ac:dyDescent="0.35">
      <c r="A5" s="33">
        <v>2</v>
      </c>
      <c r="B5" s="33" t="s">
        <v>202</v>
      </c>
      <c r="C5" s="33" t="s">
        <v>209</v>
      </c>
      <c r="D5" s="33"/>
      <c r="E5" s="33" t="s">
        <v>208</v>
      </c>
      <c r="F5" s="33"/>
      <c r="G5" s="33"/>
    </row>
    <row r="6" spans="1:8" x14ac:dyDescent="0.35">
      <c r="A6" s="33">
        <v>3</v>
      </c>
      <c r="B6" s="33" t="s">
        <v>202</v>
      </c>
      <c r="C6" s="33" t="s">
        <v>211</v>
      </c>
      <c r="D6" s="33"/>
      <c r="E6" s="33" t="s">
        <v>34</v>
      </c>
      <c r="F6" s="33"/>
      <c r="G6" s="33"/>
    </row>
    <row r="7" spans="1:8" x14ac:dyDescent="0.35">
      <c r="A7" s="33">
        <v>4</v>
      </c>
      <c r="B7" s="33" t="s">
        <v>202</v>
      </c>
      <c r="C7" s="33" t="s">
        <v>213</v>
      </c>
      <c r="D7" s="33"/>
      <c r="E7" s="33" t="s">
        <v>34</v>
      </c>
      <c r="F7" s="33"/>
      <c r="G7" s="33"/>
      <c r="H7" s="19"/>
    </row>
    <row r="8" spans="1:8" ht="29" x14ac:dyDescent="0.35">
      <c r="A8" s="33">
        <v>5</v>
      </c>
      <c r="B8" s="33" t="s">
        <v>237</v>
      </c>
      <c r="C8" s="33" t="s">
        <v>238</v>
      </c>
      <c r="D8" s="33" t="s">
        <v>210</v>
      </c>
      <c r="E8" s="33" t="s">
        <v>239</v>
      </c>
      <c r="F8" s="33" t="s">
        <v>240</v>
      </c>
      <c r="G8" s="33"/>
      <c r="H8" s="19"/>
    </row>
    <row r="9" spans="1:8" ht="29" x14ac:dyDescent="0.35">
      <c r="A9" s="33">
        <v>6</v>
      </c>
      <c r="B9" s="33" t="s">
        <v>237</v>
      </c>
      <c r="C9" s="33" t="s">
        <v>241</v>
      </c>
      <c r="D9" s="33" t="s">
        <v>207</v>
      </c>
      <c r="E9" s="33" t="s">
        <v>242</v>
      </c>
      <c r="F9" s="33" t="s">
        <v>243</v>
      </c>
      <c r="G9" s="33"/>
      <c r="H9" s="19"/>
    </row>
    <row r="10" spans="1:8" ht="29" x14ac:dyDescent="0.35">
      <c r="A10" s="33">
        <v>7</v>
      </c>
      <c r="B10" s="33" t="s">
        <v>237</v>
      </c>
      <c r="C10" s="33" t="s">
        <v>244</v>
      </c>
      <c r="D10" s="33" t="s">
        <v>207</v>
      </c>
      <c r="E10" s="33" t="s">
        <v>245</v>
      </c>
      <c r="F10" s="33" t="s">
        <v>246</v>
      </c>
      <c r="G10" s="33"/>
      <c r="H10" s="19"/>
    </row>
    <row r="11" spans="1:8" ht="29" x14ac:dyDescent="0.35">
      <c r="A11" s="33">
        <v>8</v>
      </c>
      <c r="B11" s="33" t="s">
        <v>237</v>
      </c>
      <c r="C11" s="33" t="s">
        <v>247</v>
      </c>
      <c r="D11" s="33" t="s">
        <v>212</v>
      </c>
      <c r="E11" s="33" t="s">
        <v>248</v>
      </c>
      <c r="F11" s="33" t="s">
        <v>249</v>
      </c>
      <c r="G11" s="33"/>
      <c r="H11" s="19"/>
    </row>
    <row r="12" spans="1:8" ht="29" x14ac:dyDescent="0.35">
      <c r="A12" s="33">
        <v>9</v>
      </c>
      <c r="B12" s="33" t="s">
        <v>237</v>
      </c>
      <c r="C12" s="33" t="s">
        <v>250</v>
      </c>
      <c r="D12" s="33" t="s">
        <v>251</v>
      </c>
      <c r="E12" s="33" t="s">
        <v>252</v>
      </c>
      <c r="F12" s="33" t="s">
        <v>253</v>
      </c>
      <c r="G12" s="33"/>
      <c r="H12" s="19"/>
    </row>
    <row r="13" spans="1:8" s="19" customFormat="1" x14ac:dyDescent="0.35">
      <c r="A13" s="33">
        <v>10</v>
      </c>
      <c r="B13" s="33" t="s">
        <v>15</v>
      </c>
      <c r="C13" s="33" t="s">
        <v>335</v>
      </c>
      <c r="D13" s="33"/>
      <c r="E13" s="33"/>
      <c r="F13" s="33"/>
      <c r="G13" s="33"/>
    </row>
    <row r="14" spans="1:8" s="19" customFormat="1" ht="29" x14ac:dyDescent="0.35">
      <c r="A14" s="33">
        <v>11</v>
      </c>
      <c r="B14" s="33" t="s">
        <v>15</v>
      </c>
      <c r="C14" s="33" t="s">
        <v>336</v>
      </c>
      <c r="D14" s="33"/>
      <c r="E14" s="33"/>
      <c r="F14" s="33"/>
      <c r="G14" s="33"/>
    </row>
    <row r="15" spans="1:8" s="19" customFormat="1" x14ac:dyDescent="0.35">
      <c r="A15" s="33">
        <v>12</v>
      </c>
      <c r="B15" s="33" t="s">
        <v>15</v>
      </c>
      <c r="C15" s="33" t="s">
        <v>337</v>
      </c>
      <c r="D15" s="33"/>
      <c r="E15" s="33"/>
      <c r="F15" s="33"/>
      <c r="G15" s="33"/>
    </row>
    <row r="16" spans="1:8" s="19" customFormat="1" ht="72.5" x14ac:dyDescent="0.35">
      <c r="A16" s="33">
        <v>13</v>
      </c>
      <c r="B16" s="33" t="s">
        <v>15</v>
      </c>
      <c r="C16" s="33" t="s">
        <v>278</v>
      </c>
      <c r="D16" s="33"/>
      <c r="E16" s="33"/>
      <c r="F16" s="33"/>
      <c r="G16" s="33"/>
    </row>
    <row r="17" spans="1:7" s="19" customFormat="1" x14ac:dyDescent="0.35">
      <c r="A17" s="33">
        <v>14</v>
      </c>
      <c r="B17" s="33" t="s">
        <v>15</v>
      </c>
      <c r="C17" s="33" t="s">
        <v>338</v>
      </c>
      <c r="D17" s="33"/>
      <c r="E17" s="33"/>
      <c r="F17" s="33"/>
      <c r="G17" s="33"/>
    </row>
    <row r="18" spans="1:7" s="19" customFormat="1" ht="29" x14ac:dyDescent="0.35">
      <c r="A18" s="33">
        <v>15</v>
      </c>
      <c r="B18" s="33" t="s">
        <v>372</v>
      </c>
      <c r="C18" s="33" t="s">
        <v>373</v>
      </c>
      <c r="D18" s="33"/>
      <c r="E18" s="33"/>
      <c r="F18" s="33"/>
      <c r="G18" s="33"/>
    </row>
    <row r="19" spans="1:7" s="19" customFormat="1" ht="29" x14ac:dyDescent="0.35">
      <c r="A19" s="33">
        <v>16</v>
      </c>
      <c r="B19" s="33" t="s">
        <v>372</v>
      </c>
      <c r="C19" s="33" t="s">
        <v>374</v>
      </c>
      <c r="D19" s="33"/>
      <c r="E19" s="33"/>
      <c r="F19" s="33"/>
      <c r="G19" s="33"/>
    </row>
    <row r="20" spans="1:7" s="19" customFormat="1" ht="29" x14ac:dyDescent="0.35">
      <c r="A20" s="33">
        <v>17</v>
      </c>
      <c r="B20" s="33" t="s">
        <v>372</v>
      </c>
      <c r="C20" s="33" t="s">
        <v>375</v>
      </c>
      <c r="D20" s="33"/>
      <c r="E20" s="33"/>
      <c r="F20" s="33"/>
      <c r="G20" s="33"/>
    </row>
    <row r="21" spans="1:7" s="19" customFormat="1" ht="29" x14ac:dyDescent="0.35">
      <c r="A21" s="33">
        <v>18</v>
      </c>
      <c r="B21" s="33" t="s">
        <v>372</v>
      </c>
      <c r="C21" s="33" t="s">
        <v>376</v>
      </c>
      <c r="D21" s="33"/>
      <c r="E21" s="33"/>
      <c r="F21" s="33"/>
      <c r="G21" s="33"/>
    </row>
    <row r="22" spans="1:7" x14ac:dyDescent="0.35">
      <c r="A22" s="33">
        <v>19</v>
      </c>
      <c r="B22" s="33" t="s">
        <v>144</v>
      </c>
      <c r="C22" s="33" t="s">
        <v>398</v>
      </c>
      <c r="D22" s="33"/>
      <c r="E22" s="33"/>
      <c r="F22" s="33"/>
      <c r="G22" s="33"/>
    </row>
    <row r="23" spans="1:7" x14ac:dyDescent="0.35">
      <c r="A23" s="33">
        <v>20</v>
      </c>
      <c r="B23" s="33" t="s">
        <v>144</v>
      </c>
      <c r="C23" s="33" t="s">
        <v>399</v>
      </c>
      <c r="D23" s="33"/>
      <c r="E23" s="33"/>
      <c r="F23" s="33"/>
      <c r="G23" s="33"/>
    </row>
    <row r="24" spans="1:7" x14ac:dyDescent="0.35">
      <c r="A24" s="33">
        <v>21</v>
      </c>
      <c r="B24" s="33" t="s">
        <v>144</v>
      </c>
      <c r="C24" s="33" t="s">
        <v>400</v>
      </c>
      <c r="D24" s="33"/>
      <c r="E24" s="33"/>
      <c r="F24" s="33"/>
      <c r="G24" s="33"/>
    </row>
    <row r="25" spans="1:7" x14ac:dyDescent="0.35">
      <c r="A25" s="33">
        <v>22</v>
      </c>
      <c r="B25" s="33" t="s">
        <v>144</v>
      </c>
      <c r="C25" s="33" t="s">
        <v>401</v>
      </c>
      <c r="D25" s="33"/>
      <c r="E25" s="33"/>
      <c r="F25" s="33"/>
      <c r="G25" s="33"/>
    </row>
    <row r="26" spans="1:7" x14ac:dyDescent="0.35">
      <c r="A26" s="33">
        <v>23</v>
      </c>
      <c r="B26" s="33" t="s">
        <v>144</v>
      </c>
      <c r="C26" s="33" t="s">
        <v>402</v>
      </c>
      <c r="D26" s="33"/>
      <c r="E26" s="33"/>
      <c r="F26" s="33"/>
      <c r="G26" s="33"/>
    </row>
    <row r="27" spans="1:7" x14ac:dyDescent="0.35">
      <c r="A27" s="33">
        <v>24</v>
      </c>
      <c r="B27" s="33" t="s">
        <v>408</v>
      </c>
      <c r="C27" s="33" t="s">
        <v>421</v>
      </c>
      <c r="D27" s="33"/>
      <c r="E27" s="33"/>
      <c r="F27" s="33"/>
      <c r="G27" s="33"/>
    </row>
    <row r="28" spans="1:7" x14ac:dyDescent="0.35">
      <c r="A28" s="33">
        <v>25</v>
      </c>
      <c r="B28" s="33" t="s">
        <v>408</v>
      </c>
      <c r="C28" s="33" t="s">
        <v>422</v>
      </c>
      <c r="D28" s="33"/>
      <c r="E28" s="33"/>
      <c r="F28" s="33"/>
      <c r="G28" s="33"/>
    </row>
    <row r="29" spans="1:7" x14ac:dyDescent="0.35">
      <c r="A29" s="33">
        <v>26</v>
      </c>
      <c r="B29" s="33" t="s">
        <v>408</v>
      </c>
      <c r="C29" s="33" t="s">
        <v>423</v>
      </c>
      <c r="D29" s="33"/>
      <c r="E29" s="33"/>
      <c r="F29" s="33"/>
      <c r="G29" s="33"/>
    </row>
    <row r="30" spans="1:7" x14ac:dyDescent="0.35">
      <c r="A30" s="33">
        <v>27</v>
      </c>
      <c r="B30" s="33" t="s">
        <v>408</v>
      </c>
      <c r="C30" s="33" t="s">
        <v>424</v>
      </c>
      <c r="D30" s="33"/>
      <c r="E30" s="33"/>
      <c r="F30" s="33"/>
      <c r="G30" s="33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FF53-78F9-40F8-95F8-25F56D7E2D90}">
  <dimension ref="A3:G22"/>
  <sheetViews>
    <sheetView topLeftCell="A3" workbookViewId="0">
      <selection activeCell="C31" sqref="C31"/>
    </sheetView>
  </sheetViews>
  <sheetFormatPr defaultRowHeight="14.5" x14ac:dyDescent="0.35"/>
  <cols>
    <col min="1" max="1" width="12.6328125" bestFit="1" customWidth="1"/>
    <col min="2" max="2" width="17.54296875" bestFit="1" customWidth="1"/>
  </cols>
  <sheetData>
    <row r="3" spans="1:7" x14ac:dyDescent="0.35">
      <c r="A3" s="66" t="s">
        <v>405</v>
      </c>
      <c r="B3" t="s">
        <v>406</v>
      </c>
      <c r="E3" s="57"/>
      <c r="F3" s="58"/>
      <c r="G3" s="59"/>
    </row>
    <row r="4" spans="1:7" x14ac:dyDescent="0.35">
      <c r="A4" s="67" t="s">
        <v>15</v>
      </c>
      <c r="B4" s="68">
        <v>19</v>
      </c>
      <c r="E4" s="60"/>
      <c r="F4" s="61"/>
      <c r="G4" s="62"/>
    </row>
    <row r="5" spans="1:7" x14ac:dyDescent="0.35">
      <c r="A5" s="67" t="s">
        <v>372</v>
      </c>
      <c r="B5" s="68">
        <v>11</v>
      </c>
      <c r="E5" s="60"/>
      <c r="F5" s="61"/>
      <c r="G5" s="62"/>
    </row>
    <row r="6" spans="1:7" x14ac:dyDescent="0.35">
      <c r="A6" s="67" t="s">
        <v>202</v>
      </c>
      <c r="B6" s="68">
        <v>6</v>
      </c>
      <c r="E6" s="60"/>
      <c r="F6" s="61"/>
      <c r="G6" s="62"/>
    </row>
    <row r="7" spans="1:7" x14ac:dyDescent="0.35">
      <c r="A7" s="67" t="s">
        <v>144</v>
      </c>
      <c r="B7" s="68">
        <v>6</v>
      </c>
      <c r="E7" s="60"/>
      <c r="F7" s="61"/>
      <c r="G7" s="62"/>
    </row>
    <row r="8" spans="1:7" x14ac:dyDescent="0.35">
      <c r="A8" s="67" t="s">
        <v>408</v>
      </c>
      <c r="B8" s="68">
        <v>6</v>
      </c>
      <c r="E8" s="60"/>
      <c r="F8" s="61"/>
      <c r="G8" s="62"/>
    </row>
    <row r="9" spans="1:7" x14ac:dyDescent="0.35">
      <c r="A9" s="67" t="s">
        <v>237</v>
      </c>
      <c r="B9" s="68">
        <v>6</v>
      </c>
      <c r="E9" s="60"/>
      <c r="F9" s="61"/>
      <c r="G9" s="62"/>
    </row>
    <row r="10" spans="1:7" x14ac:dyDescent="0.35">
      <c r="A10" s="67" t="s">
        <v>403</v>
      </c>
      <c r="B10" s="68"/>
      <c r="E10" s="60"/>
      <c r="F10" s="61"/>
      <c r="G10" s="62"/>
    </row>
    <row r="11" spans="1:7" x14ac:dyDescent="0.35">
      <c r="A11" s="67" t="s">
        <v>404</v>
      </c>
      <c r="B11" s="68">
        <v>54</v>
      </c>
      <c r="E11" s="60"/>
      <c r="F11" s="61"/>
      <c r="G11" s="62"/>
    </row>
    <row r="12" spans="1:7" x14ac:dyDescent="0.35">
      <c r="E12" s="60"/>
      <c r="F12" s="61"/>
      <c r="G12" s="62"/>
    </row>
    <row r="13" spans="1:7" x14ac:dyDescent="0.35">
      <c r="E13" s="60"/>
      <c r="F13" s="61"/>
      <c r="G13" s="62"/>
    </row>
    <row r="14" spans="1:7" x14ac:dyDescent="0.35">
      <c r="A14" s="66" t="s">
        <v>405</v>
      </c>
      <c r="B14" t="s">
        <v>425</v>
      </c>
      <c r="E14" s="60"/>
      <c r="F14" s="61"/>
      <c r="G14" s="62"/>
    </row>
    <row r="15" spans="1:7" x14ac:dyDescent="0.35">
      <c r="A15" s="67" t="s">
        <v>15</v>
      </c>
      <c r="B15" s="68">
        <v>5</v>
      </c>
      <c r="E15" s="60"/>
      <c r="F15" s="61"/>
      <c r="G15" s="62"/>
    </row>
    <row r="16" spans="1:7" x14ac:dyDescent="0.35">
      <c r="A16" s="67" t="s">
        <v>144</v>
      </c>
      <c r="B16" s="68">
        <v>5</v>
      </c>
      <c r="E16" s="60"/>
      <c r="F16" s="61"/>
      <c r="G16" s="62"/>
    </row>
    <row r="17" spans="1:7" x14ac:dyDescent="0.35">
      <c r="A17" s="67" t="s">
        <v>237</v>
      </c>
      <c r="B17" s="68">
        <v>5</v>
      </c>
      <c r="E17" s="60"/>
      <c r="F17" s="61"/>
      <c r="G17" s="62"/>
    </row>
    <row r="18" spans="1:7" x14ac:dyDescent="0.35">
      <c r="A18" s="67" t="s">
        <v>408</v>
      </c>
      <c r="B18" s="68">
        <v>4</v>
      </c>
      <c r="E18" s="60"/>
      <c r="F18" s="61"/>
      <c r="G18" s="62"/>
    </row>
    <row r="19" spans="1:7" x14ac:dyDescent="0.35">
      <c r="A19" s="67" t="s">
        <v>202</v>
      </c>
      <c r="B19" s="68">
        <v>4</v>
      </c>
      <c r="E19" s="60"/>
      <c r="F19" s="61"/>
      <c r="G19" s="62"/>
    </row>
    <row r="20" spans="1:7" x14ac:dyDescent="0.35">
      <c r="A20" s="67" t="s">
        <v>372</v>
      </c>
      <c r="B20" s="68">
        <v>4</v>
      </c>
      <c r="E20" s="63"/>
      <c r="F20" s="64"/>
      <c r="G20" s="65"/>
    </row>
    <row r="21" spans="1:7" x14ac:dyDescent="0.35">
      <c r="A21" s="67" t="s">
        <v>403</v>
      </c>
      <c r="B21" s="68"/>
    </row>
    <row r="22" spans="1:7" x14ac:dyDescent="0.35">
      <c r="A22" s="67" t="s">
        <v>404</v>
      </c>
      <c r="B22" s="6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selection activeCell="D34" sqref="D34"/>
    </sheetView>
  </sheetViews>
  <sheetFormatPr defaultRowHeight="14.5" x14ac:dyDescent="0.35"/>
  <cols>
    <col min="1" max="1" width="25" customWidth="1"/>
    <col min="2" max="4" width="15" customWidth="1"/>
  </cols>
  <sheetData>
    <row r="1" spans="1:4" ht="17" x14ac:dyDescent="0.4">
      <c r="A1" s="79" t="s">
        <v>37</v>
      </c>
      <c r="B1" s="74"/>
      <c r="C1" s="74"/>
      <c r="D1" s="74"/>
    </row>
    <row r="3" spans="1:4" x14ac:dyDescent="0.35">
      <c r="A3" s="73" t="s">
        <v>38</v>
      </c>
      <c r="B3" s="74"/>
      <c r="C3" s="74"/>
      <c r="D3" s="74"/>
    </row>
    <row r="4" spans="1:4" x14ac:dyDescent="0.35">
      <c r="A4" s="75" t="s">
        <v>39</v>
      </c>
      <c r="B4" s="74"/>
      <c r="C4" s="74"/>
      <c r="D4" s="74"/>
    </row>
    <row r="5" spans="1:4" x14ac:dyDescent="0.35">
      <c r="A5" s="75" t="s">
        <v>40</v>
      </c>
      <c r="B5" s="74"/>
      <c r="C5" s="74"/>
      <c r="D5" s="74"/>
    </row>
    <row r="6" spans="1:4" x14ac:dyDescent="0.35">
      <c r="A6" s="75" t="s">
        <v>41</v>
      </c>
      <c r="B6" s="74"/>
      <c r="C6" s="74"/>
      <c r="D6" s="74"/>
    </row>
    <row r="7" spans="1:4" x14ac:dyDescent="0.35">
      <c r="A7" s="75" t="s">
        <v>42</v>
      </c>
      <c r="B7" s="74"/>
      <c r="C7" s="74"/>
      <c r="D7" s="74"/>
    </row>
    <row r="8" spans="1:4" x14ac:dyDescent="0.35">
      <c r="A8" s="75" t="s">
        <v>43</v>
      </c>
      <c r="B8" s="74"/>
      <c r="C8" s="74"/>
      <c r="D8" s="74"/>
    </row>
    <row r="9" spans="1:4" x14ac:dyDescent="0.35">
      <c r="A9" s="81" t="s">
        <v>44</v>
      </c>
      <c r="B9" s="74"/>
      <c r="C9" s="74"/>
      <c r="D9" s="74"/>
    </row>
    <row r="11" spans="1:4" x14ac:dyDescent="0.35">
      <c r="A11" s="73" t="s">
        <v>45</v>
      </c>
      <c r="B11" s="74"/>
      <c r="C11" s="74"/>
      <c r="D11" s="74"/>
    </row>
    <row r="12" spans="1:4" x14ac:dyDescent="0.35">
      <c r="A12" s="75" t="s">
        <v>46</v>
      </c>
      <c r="B12" s="74"/>
      <c r="C12" s="74"/>
      <c r="D12" s="74"/>
    </row>
    <row r="13" spans="1:4" x14ac:dyDescent="0.35">
      <c r="A13" s="75" t="s">
        <v>47</v>
      </c>
      <c r="B13" s="74"/>
      <c r="C13" s="74"/>
      <c r="D13" s="74"/>
    </row>
    <row r="14" spans="1:4" x14ac:dyDescent="0.35">
      <c r="A14" s="75" t="s">
        <v>48</v>
      </c>
      <c r="B14" s="74"/>
      <c r="C14" s="74"/>
      <c r="D14" s="74"/>
    </row>
    <row r="15" spans="1:4" x14ac:dyDescent="0.35">
      <c r="A15" s="75" t="s">
        <v>49</v>
      </c>
      <c r="B15" s="74"/>
      <c r="C15" s="74"/>
      <c r="D15" s="74"/>
    </row>
    <row r="16" spans="1:4" x14ac:dyDescent="0.35">
      <c r="A16" s="75" t="s">
        <v>50</v>
      </c>
      <c r="B16" s="74"/>
      <c r="C16" s="74"/>
      <c r="D16" s="74"/>
    </row>
    <row r="17" spans="1:4" x14ac:dyDescent="0.35">
      <c r="A17" s="81" t="s">
        <v>51</v>
      </c>
      <c r="B17" s="74"/>
      <c r="C17" s="74"/>
      <c r="D17" s="74"/>
    </row>
    <row r="19" spans="1:4" x14ac:dyDescent="0.35">
      <c r="A19" s="73" t="s">
        <v>52</v>
      </c>
      <c r="B19" s="74"/>
      <c r="C19" s="74"/>
      <c r="D19" s="74"/>
    </row>
    <row r="20" spans="1:4" x14ac:dyDescent="0.35">
      <c r="A20" s="75" t="s">
        <v>53</v>
      </c>
      <c r="B20" s="74"/>
      <c r="C20" s="74"/>
      <c r="D20" s="74"/>
    </row>
    <row r="21" spans="1:4" x14ac:dyDescent="0.35">
      <c r="A21" s="75" t="s">
        <v>54</v>
      </c>
      <c r="B21" s="74"/>
      <c r="C21" s="74"/>
      <c r="D21" s="74"/>
    </row>
    <row r="22" spans="1:4" x14ac:dyDescent="0.35">
      <c r="A22" s="75" t="s">
        <v>55</v>
      </c>
      <c r="B22" s="74"/>
      <c r="C22" s="74"/>
      <c r="D22" s="74"/>
    </row>
    <row r="23" spans="1:4" x14ac:dyDescent="0.35">
      <c r="A23" s="75" t="s">
        <v>56</v>
      </c>
      <c r="B23" s="74"/>
      <c r="C23" s="74"/>
      <c r="D23" s="74"/>
    </row>
    <row r="24" spans="1:4" x14ac:dyDescent="0.35">
      <c r="A24" s="75" t="s">
        <v>57</v>
      </c>
      <c r="B24" s="74"/>
      <c r="C24" s="74"/>
      <c r="D24" s="74"/>
    </row>
    <row r="25" spans="1:4" x14ac:dyDescent="0.35">
      <c r="A25" s="81" t="s">
        <v>58</v>
      </c>
      <c r="B25" s="74"/>
      <c r="C25" s="74"/>
      <c r="D25" s="74"/>
    </row>
    <row r="27" spans="1:4" x14ac:dyDescent="0.35">
      <c r="A27" s="73" t="s">
        <v>59</v>
      </c>
      <c r="B27" s="74"/>
      <c r="C27" s="74"/>
      <c r="D27" s="74"/>
    </row>
    <row r="28" spans="1:4" x14ac:dyDescent="0.35">
      <c r="A28" s="75" t="s">
        <v>60</v>
      </c>
      <c r="B28" s="74"/>
      <c r="C28" s="74"/>
      <c r="D28" s="74"/>
    </row>
    <row r="29" spans="1:4" x14ac:dyDescent="0.35">
      <c r="A29" s="75" t="s">
        <v>61</v>
      </c>
      <c r="B29" s="74"/>
      <c r="C29" s="74"/>
      <c r="D29" s="74"/>
    </row>
    <row r="30" spans="1:4" x14ac:dyDescent="0.35">
      <c r="A30" s="75" t="s">
        <v>62</v>
      </c>
      <c r="B30" s="74"/>
      <c r="C30" s="74"/>
      <c r="D30" s="74"/>
    </row>
    <row r="31" spans="1:4" x14ac:dyDescent="0.35">
      <c r="A31" s="75" t="s">
        <v>63</v>
      </c>
      <c r="B31" s="74"/>
      <c r="C31" s="74"/>
      <c r="D31" s="74"/>
    </row>
    <row r="32" spans="1:4" x14ac:dyDescent="0.35">
      <c r="A32" s="75" t="s">
        <v>64</v>
      </c>
      <c r="B32" s="74"/>
      <c r="C32" s="74"/>
      <c r="D32" s="74"/>
    </row>
    <row r="33" spans="1:4" x14ac:dyDescent="0.35">
      <c r="A33" s="81" t="s">
        <v>65</v>
      </c>
      <c r="B33" s="74"/>
      <c r="C33" s="74"/>
      <c r="D33" s="74"/>
    </row>
  </sheetData>
  <mergeCells count="29">
    <mergeCell ref="A27:D27"/>
    <mergeCell ref="A4:D4"/>
    <mergeCell ref="A20:D20"/>
    <mergeCell ref="A29:D29"/>
    <mergeCell ref="A19:D19"/>
    <mergeCell ref="A28:D28"/>
    <mergeCell ref="A13:D13"/>
    <mergeCell ref="A9:D9"/>
    <mergeCell ref="A5:D5"/>
    <mergeCell ref="A17:D17"/>
    <mergeCell ref="A23:D23"/>
    <mergeCell ref="A8:D8"/>
    <mergeCell ref="A22:D22"/>
    <mergeCell ref="A33:D33"/>
    <mergeCell ref="A32:D32"/>
    <mergeCell ref="A14:D14"/>
    <mergeCell ref="A1:D1"/>
    <mergeCell ref="A6:D6"/>
    <mergeCell ref="A7:D7"/>
    <mergeCell ref="A25:D25"/>
    <mergeCell ref="A16:D16"/>
    <mergeCell ref="A12:D12"/>
    <mergeCell ref="A3:D3"/>
    <mergeCell ref="A21:D21"/>
    <mergeCell ref="A31:D31"/>
    <mergeCell ref="A30:D30"/>
    <mergeCell ref="A15:D15"/>
    <mergeCell ref="A24:D24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activeCell="J25" sqref="J25"/>
    </sheetView>
  </sheetViews>
  <sheetFormatPr defaultRowHeight="14.5" x14ac:dyDescent="0.35"/>
  <cols>
    <col min="1" max="1" width="30" customWidth="1"/>
    <col min="2" max="3" width="15" customWidth="1"/>
    <col min="4" max="4" width="30" customWidth="1"/>
  </cols>
  <sheetData>
    <row r="1" spans="1:4" ht="17" x14ac:dyDescent="0.4">
      <c r="A1" s="79" t="s">
        <v>66</v>
      </c>
      <c r="B1" s="74"/>
      <c r="C1" s="74"/>
      <c r="D1" s="74"/>
    </row>
    <row r="3" spans="1:4" x14ac:dyDescent="0.35">
      <c r="A3" s="73" t="s">
        <v>67</v>
      </c>
      <c r="B3" s="74"/>
      <c r="C3" s="74"/>
      <c r="D3" s="74"/>
    </row>
    <row r="4" spans="1:4" ht="15.5" x14ac:dyDescent="0.35">
      <c r="A4" s="6" t="s">
        <v>68</v>
      </c>
      <c r="B4" s="6" t="s">
        <v>69</v>
      </c>
      <c r="C4" s="6" t="s">
        <v>70</v>
      </c>
      <c r="D4" s="6" t="s">
        <v>71</v>
      </c>
    </row>
    <row r="5" spans="1:4" x14ac:dyDescent="0.35">
      <c r="A5" s="5" t="s">
        <v>72</v>
      </c>
      <c r="B5" s="5">
        <v>1</v>
      </c>
      <c r="C5" s="5" t="s">
        <v>73</v>
      </c>
      <c r="D5" s="5" t="s">
        <v>73</v>
      </c>
    </row>
    <row r="6" spans="1:4" x14ac:dyDescent="0.35">
      <c r="A6" s="5" t="s">
        <v>74</v>
      </c>
      <c r="B6" s="5">
        <v>1</v>
      </c>
      <c r="C6" s="5" t="s">
        <v>75</v>
      </c>
      <c r="D6" s="5" t="s">
        <v>75</v>
      </c>
    </row>
    <row r="7" spans="1:4" x14ac:dyDescent="0.35">
      <c r="A7" s="5" t="s">
        <v>76</v>
      </c>
      <c r="B7" s="5">
        <v>1</v>
      </c>
      <c r="C7" s="5" t="s">
        <v>77</v>
      </c>
      <c r="D7" s="5" t="s">
        <v>77</v>
      </c>
    </row>
    <row r="8" spans="1:4" x14ac:dyDescent="0.35">
      <c r="A8" s="13" t="s">
        <v>78</v>
      </c>
      <c r="D8" s="12" t="s">
        <v>79</v>
      </c>
    </row>
    <row r="10" spans="1:4" x14ac:dyDescent="0.35">
      <c r="A10" s="73" t="s">
        <v>80</v>
      </c>
      <c r="B10" s="74"/>
      <c r="C10" s="74"/>
      <c r="D10" s="74"/>
    </row>
    <row r="11" spans="1:4" ht="15.5" x14ac:dyDescent="0.35">
      <c r="A11" s="6" t="s">
        <v>81</v>
      </c>
      <c r="B11" s="6" t="s">
        <v>82</v>
      </c>
      <c r="C11" s="6" t="s">
        <v>83</v>
      </c>
      <c r="D11" s="6"/>
    </row>
    <row r="12" spans="1:4" x14ac:dyDescent="0.35">
      <c r="A12" s="5" t="s">
        <v>84</v>
      </c>
      <c r="B12" s="5" t="s">
        <v>35</v>
      </c>
      <c r="C12" s="5" t="s">
        <v>85</v>
      </c>
    </row>
    <row r="13" spans="1:4" x14ac:dyDescent="0.35">
      <c r="A13" s="5" t="s">
        <v>86</v>
      </c>
      <c r="B13" s="5" t="s">
        <v>33</v>
      </c>
      <c r="C13" s="5" t="s">
        <v>87</v>
      </c>
    </row>
    <row r="14" spans="1:4" x14ac:dyDescent="0.35">
      <c r="A14" s="5" t="s">
        <v>88</v>
      </c>
      <c r="B14" s="5" t="s">
        <v>89</v>
      </c>
      <c r="C14" s="5" t="s">
        <v>90</v>
      </c>
    </row>
    <row r="15" spans="1:4" x14ac:dyDescent="0.35">
      <c r="A15" s="5" t="s">
        <v>91</v>
      </c>
      <c r="B15" s="5" t="s">
        <v>36</v>
      </c>
      <c r="C15" s="5" t="s">
        <v>92</v>
      </c>
    </row>
    <row r="16" spans="1:4" x14ac:dyDescent="0.35">
      <c r="A16" s="5" t="s">
        <v>93</v>
      </c>
      <c r="B16" s="5" t="s">
        <v>94</v>
      </c>
      <c r="C16" s="5" t="s">
        <v>95</v>
      </c>
    </row>
    <row r="17" spans="1:4" x14ac:dyDescent="0.35">
      <c r="A17" s="13" t="s">
        <v>96</v>
      </c>
      <c r="B17" s="12" t="s">
        <v>97</v>
      </c>
    </row>
    <row r="19" spans="1:4" x14ac:dyDescent="0.35">
      <c r="A19" s="73" t="s">
        <v>98</v>
      </c>
      <c r="B19" s="74"/>
      <c r="C19" s="74"/>
      <c r="D19" s="74"/>
    </row>
    <row r="20" spans="1:4" ht="15.5" x14ac:dyDescent="0.35">
      <c r="A20" s="6" t="s">
        <v>81</v>
      </c>
      <c r="B20" s="6" t="s">
        <v>99</v>
      </c>
      <c r="C20" s="6" t="s">
        <v>83</v>
      </c>
      <c r="D20" s="6"/>
    </row>
    <row r="21" spans="1:4" x14ac:dyDescent="0.35">
      <c r="A21" s="5" t="s">
        <v>100</v>
      </c>
      <c r="B21" s="5" t="s">
        <v>33</v>
      </c>
      <c r="C21" s="5" t="s">
        <v>101</v>
      </c>
    </row>
    <row r="22" spans="1:4" x14ac:dyDescent="0.35">
      <c r="A22" s="5" t="s">
        <v>102</v>
      </c>
      <c r="B22" s="5" t="s">
        <v>36</v>
      </c>
      <c r="C22" s="5" t="s">
        <v>103</v>
      </c>
    </row>
    <row r="23" spans="1:4" x14ac:dyDescent="0.35">
      <c r="A23" s="5" t="s">
        <v>104</v>
      </c>
      <c r="B23" s="5" t="s">
        <v>89</v>
      </c>
      <c r="C23" s="5" t="s">
        <v>105</v>
      </c>
    </row>
    <row r="24" spans="1:4" x14ac:dyDescent="0.35">
      <c r="A24" s="5" t="s">
        <v>106</v>
      </c>
      <c r="B24" s="5" t="s">
        <v>36</v>
      </c>
      <c r="C24" s="5" t="s">
        <v>22</v>
      </c>
    </row>
    <row r="25" spans="1:4" x14ac:dyDescent="0.35">
      <c r="A25" s="13" t="s">
        <v>107</v>
      </c>
      <c r="B25" s="12" t="s">
        <v>75</v>
      </c>
    </row>
    <row r="27" spans="1:4" x14ac:dyDescent="0.35">
      <c r="A27" s="73" t="s">
        <v>108</v>
      </c>
      <c r="B27" s="74"/>
      <c r="C27" s="74"/>
      <c r="D27" s="74"/>
    </row>
    <row r="28" spans="1:4" ht="15.5" x14ac:dyDescent="0.35">
      <c r="A28" s="6" t="s">
        <v>81</v>
      </c>
      <c r="B28" s="6" t="s">
        <v>99</v>
      </c>
      <c r="C28" s="6" t="s">
        <v>83</v>
      </c>
      <c r="D28" s="6"/>
    </row>
    <row r="29" spans="1:4" x14ac:dyDescent="0.35">
      <c r="A29" s="5" t="s">
        <v>109</v>
      </c>
      <c r="B29" s="5" t="s">
        <v>110</v>
      </c>
      <c r="C29" s="5" t="s">
        <v>111</v>
      </c>
    </row>
    <row r="30" spans="1:4" x14ac:dyDescent="0.35">
      <c r="A30" s="5" t="s">
        <v>112</v>
      </c>
      <c r="B30" s="5" t="s">
        <v>113</v>
      </c>
      <c r="C30" s="5" t="s">
        <v>114</v>
      </c>
    </row>
    <row r="31" spans="1:4" x14ac:dyDescent="0.35">
      <c r="A31" s="5" t="s">
        <v>115</v>
      </c>
      <c r="B31" s="5" t="s">
        <v>116</v>
      </c>
      <c r="C31" s="5" t="s">
        <v>114</v>
      </c>
    </row>
    <row r="32" spans="1:4" x14ac:dyDescent="0.35">
      <c r="A32" s="5" t="s">
        <v>117</v>
      </c>
      <c r="B32" s="5" t="s">
        <v>89</v>
      </c>
      <c r="C32" s="5" t="s">
        <v>118</v>
      </c>
    </row>
    <row r="33" spans="1:4" x14ac:dyDescent="0.35">
      <c r="A33" s="13" t="s">
        <v>119</v>
      </c>
      <c r="B33" s="12" t="s">
        <v>120</v>
      </c>
    </row>
    <row r="35" spans="1:4" x14ac:dyDescent="0.35">
      <c r="A35" s="3" t="s">
        <v>121</v>
      </c>
      <c r="B35" s="3" t="s">
        <v>122</v>
      </c>
    </row>
    <row r="38" spans="1:4" x14ac:dyDescent="0.35">
      <c r="A38" s="73" t="s">
        <v>123</v>
      </c>
      <c r="B38" s="74"/>
      <c r="C38" s="74"/>
      <c r="D38" s="74"/>
    </row>
    <row r="39" spans="1:4" ht="15.5" x14ac:dyDescent="0.35">
      <c r="A39" s="6" t="s">
        <v>124</v>
      </c>
      <c r="B39" s="6" t="s">
        <v>125</v>
      </c>
      <c r="C39" s="6"/>
      <c r="D39" s="6"/>
    </row>
    <row r="40" spans="1:4" x14ac:dyDescent="0.35">
      <c r="A40" s="5" t="s">
        <v>126</v>
      </c>
      <c r="B40" s="5" t="s">
        <v>127</v>
      </c>
    </row>
    <row r="41" spans="1:4" x14ac:dyDescent="0.35">
      <c r="A41" s="5" t="s">
        <v>128</v>
      </c>
      <c r="B41" s="5" t="s">
        <v>129</v>
      </c>
    </row>
    <row r="42" spans="1:4" x14ac:dyDescent="0.35">
      <c r="A42" s="5" t="s">
        <v>130</v>
      </c>
      <c r="B42" s="5" t="s">
        <v>131</v>
      </c>
    </row>
    <row r="43" spans="1:4" x14ac:dyDescent="0.35">
      <c r="A43" s="5" t="s">
        <v>132</v>
      </c>
      <c r="B43" s="5" t="s">
        <v>133</v>
      </c>
    </row>
    <row r="44" spans="1:4" x14ac:dyDescent="0.35">
      <c r="A44" s="11" t="s">
        <v>134</v>
      </c>
      <c r="B44" s="11" t="s">
        <v>135</v>
      </c>
    </row>
    <row r="45" spans="1:4" x14ac:dyDescent="0.35">
      <c r="A45" s="11" t="s">
        <v>136</v>
      </c>
      <c r="B45" s="11" t="s">
        <v>137</v>
      </c>
    </row>
    <row r="46" spans="1:4" x14ac:dyDescent="0.35">
      <c r="A46" s="2" t="s">
        <v>138</v>
      </c>
      <c r="B46" s="2" t="s">
        <v>139</v>
      </c>
    </row>
  </sheetData>
  <mergeCells count="6">
    <mergeCell ref="A1:D1"/>
    <mergeCell ref="A27:D27"/>
    <mergeCell ref="A3:D3"/>
    <mergeCell ref="A38:D38"/>
    <mergeCell ref="A19:D19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A01-5D6C-4EE6-8CAB-1798756C547D}">
  <dimension ref="A1:D7"/>
  <sheetViews>
    <sheetView workbookViewId="0">
      <selection activeCell="D22" sqref="D22"/>
    </sheetView>
  </sheetViews>
  <sheetFormatPr defaultRowHeight="14.5" x14ac:dyDescent="0.35"/>
  <cols>
    <col min="2" max="2" width="21.90625" customWidth="1"/>
    <col min="3" max="3" width="37.6328125" customWidth="1"/>
    <col min="4" max="4" width="32.08984375" customWidth="1"/>
  </cols>
  <sheetData>
    <row r="1" spans="1:4" s="18" customFormat="1" x14ac:dyDescent="0.35">
      <c r="A1" s="17" t="s">
        <v>146</v>
      </c>
      <c r="B1" s="17" t="s">
        <v>147</v>
      </c>
      <c r="C1" s="17" t="s">
        <v>148</v>
      </c>
      <c r="D1" s="17" t="s">
        <v>149</v>
      </c>
    </row>
    <row r="2" spans="1:4" x14ac:dyDescent="0.35">
      <c r="A2" s="17">
        <v>0</v>
      </c>
      <c r="B2" s="16" t="s">
        <v>150</v>
      </c>
      <c r="C2" s="15" t="s">
        <v>151</v>
      </c>
      <c r="D2" s="16" t="s">
        <v>152</v>
      </c>
    </row>
    <row r="3" spans="1:4" x14ac:dyDescent="0.35">
      <c r="A3" s="17">
        <v>1</v>
      </c>
      <c r="B3" s="16" t="s">
        <v>153</v>
      </c>
      <c r="C3" s="15" t="s">
        <v>154</v>
      </c>
      <c r="D3" s="16" t="s">
        <v>155</v>
      </c>
    </row>
    <row r="4" spans="1:4" x14ac:dyDescent="0.35">
      <c r="A4" s="17">
        <v>2</v>
      </c>
      <c r="B4" s="16" t="s">
        <v>156</v>
      </c>
      <c r="C4" s="15" t="s">
        <v>157</v>
      </c>
      <c r="D4" s="16" t="s">
        <v>158</v>
      </c>
    </row>
    <row r="5" spans="1:4" x14ac:dyDescent="0.35">
      <c r="A5" s="17">
        <v>3</v>
      </c>
      <c r="B5" s="16" t="s">
        <v>159</v>
      </c>
      <c r="C5" s="15" t="s">
        <v>160</v>
      </c>
      <c r="D5" s="16" t="s">
        <v>161</v>
      </c>
    </row>
    <row r="6" spans="1:4" x14ac:dyDescent="0.35">
      <c r="A6" s="17">
        <v>4</v>
      </c>
      <c r="B6" s="16" t="s">
        <v>162</v>
      </c>
      <c r="C6" s="15" t="s">
        <v>163</v>
      </c>
      <c r="D6" s="16" t="s">
        <v>164</v>
      </c>
    </row>
    <row r="7" spans="1:4" x14ac:dyDescent="0.35">
      <c r="A7" s="17">
        <v>5</v>
      </c>
      <c r="B7" s="16" t="s">
        <v>165</v>
      </c>
      <c r="C7" s="15" t="s">
        <v>166</v>
      </c>
      <c r="D7" s="16" t="s">
        <v>167</v>
      </c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6046-E3C0-4332-9506-54E26C6CEF70}">
  <dimension ref="B1:C5"/>
  <sheetViews>
    <sheetView workbookViewId="0">
      <selection activeCell="I15" sqref="I15"/>
    </sheetView>
  </sheetViews>
  <sheetFormatPr defaultRowHeight="14.5" x14ac:dyDescent="0.35"/>
  <cols>
    <col min="3" max="3" width="28.08984375" customWidth="1"/>
  </cols>
  <sheetData>
    <row r="1" spans="2:3" x14ac:dyDescent="0.35">
      <c r="B1">
        <v>1</v>
      </c>
      <c r="C1" t="s">
        <v>173</v>
      </c>
    </row>
    <row r="2" spans="2:3" x14ac:dyDescent="0.35">
      <c r="B2">
        <v>2</v>
      </c>
      <c r="C2" s="19" t="s">
        <v>174</v>
      </c>
    </row>
    <row r="3" spans="2:3" x14ac:dyDescent="0.35">
      <c r="B3" s="19">
        <v>3</v>
      </c>
      <c r="C3" t="s">
        <v>395</v>
      </c>
    </row>
    <row r="4" spans="2:3" x14ac:dyDescent="0.35">
      <c r="B4" s="19">
        <v>4</v>
      </c>
      <c r="C4" t="s">
        <v>396</v>
      </c>
    </row>
    <row r="5" spans="2:3" x14ac:dyDescent="0.35">
      <c r="B5" s="19">
        <v>5</v>
      </c>
      <c r="C5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Maturity by Area</vt:lpstr>
      <vt:lpstr>Key Findings</vt:lpstr>
      <vt:lpstr>Quick Wins</vt:lpstr>
      <vt:lpstr>Statis</vt:lpstr>
      <vt:lpstr>Roadmap</vt:lpstr>
      <vt:lpstr>Budget</vt:lpstr>
      <vt:lpstr>Sheet1</vt:lpstr>
      <vt:lpstr>Brainstorm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Thuy Dang Thi Hong (IPAS_DBA)</cp:lastModifiedBy>
  <dcterms:created xsi:type="dcterms:W3CDTF">2025-10-30T08:51:54Z</dcterms:created>
  <dcterms:modified xsi:type="dcterms:W3CDTF">2025-11-27T10:24:41Z</dcterms:modified>
</cp:coreProperties>
</file>